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iar\Downloads\"/>
    </mc:Choice>
  </mc:AlternateContent>
  <xr:revisionPtr revIDLastSave="0" documentId="13_ncr:1_{E40F769C-1082-4516-BF50-F447CC6790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bound" sheetId="1" r:id="rId1"/>
    <sheet name="Outbound" sheetId="2" r:id="rId2"/>
    <sheet name="Master_EA per Line" sheetId="4" r:id="rId3"/>
    <sheet name="Day_to_Day" sheetId="3" r:id="rId4"/>
    <sheet name="Summary" sheetId="5" r:id="rId5"/>
    <sheet name="Master" sheetId="6" r:id="rId6"/>
    <sheet name="Site Master" sheetId="7" r:id="rId7"/>
    <sheet name="Pre Rea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4" i="3" l="1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H2" i="3"/>
</calcChain>
</file>

<file path=xl/sharedStrings.xml><?xml version="1.0" encoding="utf-8"?>
<sst xmlns="http://schemas.openxmlformats.org/spreadsheetml/2006/main" count="1155" uniqueCount="472">
  <si>
    <t>Sl.</t>
  </si>
  <si>
    <t>DC Code</t>
  </si>
  <si>
    <t>Zone 2</t>
  </si>
  <si>
    <t>State</t>
  </si>
  <si>
    <t>City</t>
  </si>
  <si>
    <t>DC Name</t>
  </si>
  <si>
    <t>Format</t>
  </si>
  <si>
    <t>3PL Type</t>
  </si>
  <si>
    <t>CCO8</t>
  </si>
  <si>
    <t>North</t>
  </si>
  <si>
    <t>Delhi</t>
  </si>
  <si>
    <t>RP Bagh</t>
  </si>
  <si>
    <t>Grocery Bulk</t>
  </si>
  <si>
    <t>CP</t>
  </si>
  <si>
    <t>CEO8</t>
  </si>
  <si>
    <t>East</t>
  </si>
  <si>
    <t>Jharkhand</t>
  </si>
  <si>
    <t>Ranchi</t>
  </si>
  <si>
    <t>Grocery</t>
  </si>
  <si>
    <t>CFO8+Y122</t>
  </si>
  <si>
    <t>West</t>
  </si>
  <si>
    <t>Maharastra</t>
  </si>
  <si>
    <t>GR Mum</t>
  </si>
  <si>
    <t>Bhiwandi F</t>
  </si>
  <si>
    <t>FBO8</t>
  </si>
  <si>
    <t>Punjab</t>
  </si>
  <si>
    <t>Sirhind</t>
  </si>
  <si>
    <t>FDO8</t>
  </si>
  <si>
    <t>South</t>
  </si>
  <si>
    <t>Karnataka</t>
  </si>
  <si>
    <t>Bangalore</t>
  </si>
  <si>
    <t>Bangalore Smart</t>
  </si>
  <si>
    <t>FR87</t>
  </si>
  <si>
    <t>Haryana</t>
  </si>
  <si>
    <t>Jhajjar</t>
  </si>
  <si>
    <t>Kulana SBD</t>
  </si>
  <si>
    <t>FR89</t>
  </si>
  <si>
    <t>Uttar Pradesh</t>
  </si>
  <si>
    <t>Hapur</t>
  </si>
  <si>
    <t>Hapur SBD</t>
  </si>
  <si>
    <t>FRAO</t>
  </si>
  <si>
    <t>Ranchi SBD</t>
  </si>
  <si>
    <t>FRAZ</t>
  </si>
  <si>
    <t>Rajpura</t>
  </si>
  <si>
    <t>Banur SBD</t>
  </si>
  <si>
    <t>FREC</t>
  </si>
  <si>
    <t>Nelamangala</t>
  </si>
  <si>
    <t>FREF</t>
  </si>
  <si>
    <t>Tamil Nadu</t>
  </si>
  <si>
    <t>Chennai</t>
  </si>
  <si>
    <t>Chennai SB</t>
  </si>
  <si>
    <t>FREI</t>
  </si>
  <si>
    <t>Telangana</t>
  </si>
  <si>
    <t>Hyderabad</t>
  </si>
  <si>
    <t>Gundla SBD</t>
  </si>
  <si>
    <t>FRHV</t>
  </si>
  <si>
    <t>Lucknow</t>
  </si>
  <si>
    <t>Lucknow SB</t>
  </si>
  <si>
    <t>FRIA</t>
  </si>
  <si>
    <t>Bihar</t>
  </si>
  <si>
    <t>Patna</t>
  </si>
  <si>
    <t>Patna SBD</t>
  </si>
  <si>
    <t>R468</t>
  </si>
  <si>
    <t>Andhra Pradesh</t>
  </si>
  <si>
    <t>Rajahmundry</t>
  </si>
  <si>
    <t>R701</t>
  </si>
  <si>
    <t>Gujarat</t>
  </si>
  <si>
    <t>Ahmedabad</t>
  </si>
  <si>
    <t>Kheda</t>
  </si>
  <si>
    <t>R703</t>
  </si>
  <si>
    <t>Trichy</t>
  </si>
  <si>
    <t>R801</t>
  </si>
  <si>
    <t>Odisha</t>
  </si>
  <si>
    <t>Bhubaneswar</t>
  </si>
  <si>
    <t>Khurda</t>
  </si>
  <si>
    <t>SB01</t>
  </si>
  <si>
    <t>Khopoli</t>
  </si>
  <si>
    <t>SB52</t>
  </si>
  <si>
    <t>Khurda Shadowfax</t>
  </si>
  <si>
    <t>PCM</t>
  </si>
  <si>
    <t>SC79</t>
  </si>
  <si>
    <t>Bhiwandi V</t>
  </si>
  <si>
    <t>SF52</t>
  </si>
  <si>
    <t>Coimbatore</t>
  </si>
  <si>
    <t>GM</t>
  </si>
  <si>
    <t>SF92</t>
  </si>
  <si>
    <t>West Bengal</t>
  </si>
  <si>
    <t>Kolkata</t>
  </si>
  <si>
    <t>Kolkata Shadowfax</t>
  </si>
  <si>
    <t>SH65</t>
  </si>
  <si>
    <t>Nagpur</t>
  </si>
  <si>
    <t>Nagpur Gat</t>
  </si>
  <si>
    <t>SH69</t>
  </si>
  <si>
    <t>Ambala</t>
  </si>
  <si>
    <t>SH71</t>
  </si>
  <si>
    <t>Madhya Pradesh</t>
  </si>
  <si>
    <t>Bhopal</t>
  </si>
  <si>
    <t>Khamkheda</t>
  </si>
  <si>
    <t>SK6C</t>
  </si>
  <si>
    <t>Bavla Groc</t>
  </si>
  <si>
    <t>SK8I</t>
  </si>
  <si>
    <t>Uttarakhand</t>
  </si>
  <si>
    <t>Haridwar</t>
  </si>
  <si>
    <t>SLE8</t>
  </si>
  <si>
    <t>Badli</t>
  </si>
  <si>
    <t>Badli Indo</t>
  </si>
  <si>
    <t>SLET</t>
  </si>
  <si>
    <t>SLEW</t>
  </si>
  <si>
    <t>Chhattisgarh</t>
  </si>
  <si>
    <t>Raipur</t>
  </si>
  <si>
    <t>SLG3</t>
  </si>
  <si>
    <t>Oragadam</t>
  </si>
  <si>
    <t>VCM</t>
  </si>
  <si>
    <t>SLIG</t>
  </si>
  <si>
    <t>Assam</t>
  </si>
  <si>
    <t>Guwahati</t>
  </si>
  <si>
    <t>SLII</t>
  </si>
  <si>
    <t>SLMR</t>
  </si>
  <si>
    <t>Khurda Mukundprasad</t>
  </si>
  <si>
    <t>SLS2</t>
  </si>
  <si>
    <t>Vijaywada</t>
  </si>
  <si>
    <t>Nunna</t>
  </si>
  <si>
    <t>S412</t>
  </si>
  <si>
    <t>Siliguri</t>
  </si>
  <si>
    <t>Siliguri GM</t>
  </si>
  <si>
    <t>SH68</t>
  </si>
  <si>
    <t>F1JA</t>
  </si>
  <si>
    <t>Nagpur GM</t>
  </si>
  <si>
    <t>R413</t>
  </si>
  <si>
    <t>Gurgaon</t>
  </si>
  <si>
    <t>Gurgaon G</t>
  </si>
  <si>
    <t>S235</t>
  </si>
  <si>
    <t>Naroda GM</t>
  </si>
  <si>
    <t>SAEX</t>
  </si>
  <si>
    <t>Jhajjar App</t>
  </si>
  <si>
    <t>Footwear</t>
  </si>
  <si>
    <t>SAAH</t>
  </si>
  <si>
    <t>Ghaziabad</t>
  </si>
  <si>
    <t>SP9K</t>
  </si>
  <si>
    <t>Kolhapur</t>
  </si>
  <si>
    <t>SLS1</t>
  </si>
  <si>
    <t>RRL Grocery</t>
  </si>
  <si>
    <t>SOES</t>
  </si>
  <si>
    <t>Serampore</t>
  </si>
  <si>
    <t>SOEU</t>
  </si>
  <si>
    <t>Kolkata Serampore</t>
  </si>
  <si>
    <t>Apparel</t>
  </si>
  <si>
    <t>SZAF</t>
  </si>
  <si>
    <t>SN1U</t>
  </si>
  <si>
    <t>Kolkata Amta</t>
  </si>
  <si>
    <t>VCM-NSO</t>
  </si>
  <si>
    <t>SAOS</t>
  </si>
  <si>
    <t>Siliguri New</t>
  </si>
  <si>
    <t>SOGK</t>
  </si>
  <si>
    <t>Kerala</t>
  </si>
  <si>
    <t>Calicut</t>
  </si>
  <si>
    <t>SOKK</t>
  </si>
  <si>
    <t>SOKN</t>
  </si>
  <si>
    <t>SOIX</t>
  </si>
  <si>
    <t>Pune</t>
  </si>
  <si>
    <t>Pune Chaka</t>
  </si>
  <si>
    <t>SK6I</t>
  </si>
  <si>
    <t>Surat</t>
  </si>
  <si>
    <t>Surat Navsari</t>
  </si>
  <si>
    <t>SAHO</t>
  </si>
  <si>
    <t>SOXE</t>
  </si>
  <si>
    <t>Kochi</t>
  </si>
  <si>
    <t>Kochi Ernakulam</t>
  </si>
  <si>
    <t>SADY</t>
  </si>
  <si>
    <t>Bhiwandi N</t>
  </si>
  <si>
    <t>ZZIO</t>
  </si>
  <si>
    <t>PARAVUR</t>
  </si>
  <si>
    <t>Bismi DC</t>
  </si>
  <si>
    <t>Bismi</t>
  </si>
  <si>
    <t>SL6S</t>
  </si>
  <si>
    <t>Rajasthan</t>
  </si>
  <si>
    <t>Jaipur</t>
  </si>
  <si>
    <t>Jaipur 2</t>
  </si>
  <si>
    <t>SO1M</t>
  </si>
  <si>
    <t>Kanpur</t>
  </si>
  <si>
    <t>Date</t>
  </si>
  <si>
    <t>Function</t>
  </si>
  <si>
    <t>Plan</t>
  </si>
  <si>
    <t>Actual</t>
  </si>
  <si>
    <t>%</t>
  </si>
  <si>
    <t>Inbound</t>
  </si>
  <si>
    <t>(No Inbound sheet content was included in the source photos.)</t>
  </si>
  <si>
    <t>Outbound</t>
  </si>
  <si>
    <t>EPMH Factor</t>
  </si>
  <si>
    <t>Working Hours</t>
  </si>
  <si>
    <t>NAME</t>
  </si>
  <si>
    <t>ID</t>
  </si>
  <si>
    <t>Tenure of resource ( In Days )</t>
  </si>
  <si>
    <t>PPRR01035431</t>
  </si>
  <si>
    <t>MANAS BEHERA</t>
  </si>
  <si>
    <t>376%</t>
  </si>
  <si>
    <t>PPRR01035414</t>
  </si>
  <si>
    <t>SURYAKANTA SAHOO</t>
  </si>
  <si>
    <t>282%</t>
  </si>
  <si>
    <t>PPRR01187226</t>
  </si>
  <si>
    <t>BIPIN KUMAR SAHOO</t>
  </si>
  <si>
    <t>221%</t>
  </si>
  <si>
    <t>PPRR01035420</t>
  </si>
  <si>
    <t>MANORANJAN CHHOTARAY</t>
  </si>
  <si>
    <t>165%</t>
  </si>
  <si>
    <t>PPRR01125829</t>
  </si>
  <si>
    <t>ABINASH ROUTRAY</t>
  </si>
  <si>
    <t>149%</t>
  </si>
  <si>
    <t>PPRR01145367</t>
  </si>
  <si>
    <t>ABHIRAM BEHERA</t>
  </si>
  <si>
    <t>84%</t>
  </si>
  <si>
    <t>PPRR01050742</t>
  </si>
  <si>
    <t>SOUMYA RANJAN SUBUDHI</t>
  </si>
  <si>
    <t>76%</t>
  </si>
  <si>
    <t>PPRR01050832</t>
  </si>
  <si>
    <t>SAKTI PRASAD DALEI</t>
  </si>
  <si>
    <t>62%</t>
  </si>
  <si>
    <t>PPRR01124286</t>
  </si>
  <si>
    <t>RAJA RAUTARAY</t>
  </si>
  <si>
    <t>138%</t>
  </si>
  <si>
    <t>PPRR01035555</t>
  </si>
  <si>
    <t>SUNIL SAMANTARY</t>
  </si>
  <si>
    <t>131%</t>
  </si>
  <si>
    <t>PPRR01094201</t>
  </si>
  <si>
    <t>RASHMIRANJAN TRIPATHY</t>
  </si>
  <si>
    <t>122%</t>
  </si>
  <si>
    <t>PPRR01135116</t>
  </si>
  <si>
    <t>ASHISH NAYAK</t>
  </si>
  <si>
    <t>98%</t>
  </si>
  <si>
    <t>PPRR01161576</t>
  </si>
  <si>
    <t>BIJAY BEHERA</t>
  </si>
  <si>
    <t>77%</t>
  </si>
  <si>
    <t>PPRR01202148</t>
  </si>
  <si>
    <t>Chandan Parida</t>
  </si>
  <si>
    <t>59%</t>
  </si>
  <si>
    <t>PPRR01203364</t>
  </si>
  <si>
    <t>Soumyaranjan Sahoo</t>
  </si>
  <si>
    <t>58%</t>
  </si>
  <si>
    <t>PPRR01114095</t>
  </si>
  <si>
    <t>MITU JENA (NEW)</t>
  </si>
  <si>
    <t>53%</t>
  </si>
  <si>
    <t>PPRR01181581</t>
  </si>
  <si>
    <t>KAILASH BEHERA</t>
  </si>
  <si>
    <t>50%</t>
  </si>
  <si>
    <t>PPRR01035550</t>
  </si>
  <si>
    <t>RAJIB LOCHAN DAS</t>
  </si>
  <si>
    <t>222%</t>
  </si>
  <si>
    <t>PPRR01035451</t>
  </si>
  <si>
    <t>BHIBU PRASAD SAHOO</t>
  </si>
  <si>
    <t>207%</t>
  </si>
  <si>
    <t>PPRR01071119</t>
  </si>
  <si>
    <t>SOUMYARANJAN MOHANTI</t>
  </si>
  <si>
    <t>127%</t>
  </si>
  <si>
    <t>PPRR01208744</t>
  </si>
  <si>
    <t>Subrat Barik</t>
  </si>
  <si>
    <t>168%</t>
  </si>
  <si>
    <t>PPRR01035370</t>
  </si>
  <si>
    <t>SILA</t>
  </si>
  <si>
    <t>78%</t>
  </si>
  <si>
    <t>PPRR01175710</t>
  </si>
  <si>
    <t>Madhusmita Das</t>
  </si>
  <si>
    <t>75%</t>
  </si>
  <si>
    <t>PPRR01156765</t>
  </si>
  <si>
    <t>SUJATA MALLIK</t>
  </si>
  <si>
    <t>74%</t>
  </si>
  <si>
    <t>PPRR01192085</t>
  </si>
  <si>
    <t>Sasmita Badajena</t>
  </si>
  <si>
    <t>68%</t>
  </si>
  <si>
    <t>PPRR01190563</t>
  </si>
  <si>
    <t>Rupali Pradhan</t>
  </si>
  <si>
    <t>57%</t>
  </si>
  <si>
    <t>PPRR01112217</t>
  </si>
  <si>
    <t>MADHUSMITA PALATASINGH</t>
  </si>
  <si>
    <t>PPRR01190569</t>
  </si>
  <si>
    <t>Renuka Pradhan</t>
  </si>
  <si>
    <t>54%</t>
  </si>
  <si>
    <t>PPRR01159804</t>
  </si>
  <si>
    <t>KRUSHNA KABERI BARIK</t>
  </si>
  <si>
    <t>PPRR01192154</t>
  </si>
  <si>
    <t>Roji Sahoo</t>
  </si>
  <si>
    <t>48%</t>
  </si>
  <si>
    <t>PPRR01193002</t>
  </si>
  <si>
    <t>Pinki Behera</t>
  </si>
  <si>
    <t>44%</t>
  </si>
  <si>
    <t>PPRR01186277</t>
  </si>
  <si>
    <t>SURAMA NETI</t>
  </si>
  <si>
    <t>43%</t>
  </si>
  <si>
    <t>PPRR01202745</t>
  </si>
  <si>
    <t>Chumuki Digal</t>
  </si>
  <si>
    <t>42%</t>
  </si>
  <si>
    <t>PPRR01142621</t>
  </si>
  <si>
    <t>CHINMAYEE JENA</t>
  </si>
  <si>
    <t>120%</t>
  </si>
  <si>
    <t>PPRR01120052</t>
  </si>
  <si>
    <t>N BHABANI</t>
  </si>
  <si>
    <t>119%</t>
  </si>
  <si>
    <t>PPRR01159798</t>
  </si>
  <si>
    <t>NAMITA BEHERA</t>
  </si>
  <si>
    <t>117%</t>
  </si>
  <si>
    <t>PPRR01156721</t>
  </si>
  <si>
    <t>PUSPALATA PRADHAN</t>
  </si>
  <si>
    <t>106%</t>
  </si>
  <si>
    <t>PPRR01139839</t>
  </si>
  <si>
    <t>SUSMITA MALIK</t>
  </si>
  <si>
    <t>102%</t>
  </si>
  <si>
    <t>PPRR01156696</t>
  </si>
  <si>
    <t>BANITA PRADHAN</t>
  </si>
  <si>
    <t>101%</t>
  </si>
  <si>
    <t>PPRR01167042</t>
  </si>
  <si>
    <t>GITALI HARSINGH</t>
  </si>
  <si>
    <t>89%</t>
  </si>
  <si>
    <t>PPRR01202887</t>
  </si>
  <si>
    <t>Meera Guria</t>
  </si>
  <si>
    <t>PPRR01207703</t>
  </si>
  <si>
    <t>Ajayadev Pradhan</t>
  </si>
  <si>
    <t>70%</t>
  </si>
  <si>
    <t>PPRR01200786</t>
  </si>
  <si>
    <t>Rajesh Pradhan</t>
  </si>
  <si>
    <t>66%</t>
  </si>
  <si>
    <t>PPRR01181643</t>
  </si>
  <si>
    <t>BIBHUTI BEHERA</t>
  </si>
  <si>
    <t>64%</t>
  </si>
  <si>
    <t>PPRR01194839</t>
  </si>
  <si>
    <t>Puja Barik</t>
  </si>
  <si>
    <t>60%</t>
  </si>
  <si>
    <t>PPRR01205525</t>
  </si>
  <si>
    <t>Subrat Samantaray</t>
  </si>
  <si>
    <t>PPRR01192100</t>
  </si>
  <si>
    <t>Rudraprasad Parija</t>
  </si>
  <si>
    <t>47%</t>
  </si>
  <si>
    <t>PPRR01113352</t>
  </si>
  <si>
    <t>RATNAKAR SAHOO</t>
  </si>
  <si>
    <t>45%</t>
  </si>
  <si>
    <t>PPRR01202083</t>
  </si>
  <si>
    <t>Soumyajeet Singh</t>
  </si>
  <si>
    <t>38%</t>
  </si>
  <si>
    <t>PPRR01211614</t>
  </si>
  <si>
    <t>RANJIT NAYAK (NEW)</t>
  </si>
  <si>
    <t>17%</t>
  </si>
  <si>
    <t>PPRR01135767</t>
  </si>
  <si>
    <t>MANTU PRADHAN</t>
  </si>
  <si>
    <t>14%</t>
  </si>
  <si>
    <t>PPRR01035390</t>
  </si>
  <si>
    <t>NIRANJAN BARAL</t>
  </si>
  <si>
    <t>776%</t>
  </si>
  <si>
    <t>PPRR01035389</t>
  </si>
  <si>
    <t>SWARUPANANDA DAS</t>
  </si>
  <si>
    <t>112%</t>
  </si>
  <si>
    <t>Name</t>
  </si>
  <si>
    <t>Sum</t>
  </si>
  <si>
    <t>Eaches / Manhour</t>
  </si>
  <si>
    <t>Ground Location</t>
  </si>
  <si>
    <t>Picking - Pallet Prime</t>
  </si>
  <si>
    <t>Picking - Pallet Reserve</t>
  </si>
  <si>
    <t>Picking - Shelving G0 &amp; G1 + Chocklate + High Value +</t>
  </si>
  <si>
    <t>Picking - Shelving Second Floor and above</t>
  </si>
  <si>
    <t>Picking Batch - Step 2 Distribution</t>
  </si>
  <si>
    <t>Full Case Order Pick</t>
  </si>
  <si>
    <t>Full Case Cluster Pick</t>
  </si>
  <si>
    <t>Break Case Order Pick</t>
  </si>
  <si>
    <t>Break Case Multi Order Pick</t>
  </si>
  <si>
    <t>Batch Pick Step 1 Pick</t>
  </si>
  <si>
    <t>PTL Pick Step 1 Pick</t>
  </si>
  <si>
    <t>Batch / TTT Step 1 Pick</t>
  </si>
  <si>
    <t>Batch Pick / TTT Step 2 Distribution</t>
  </si>
  <si>
    <t>PTL Step 2 Distribution</t>
  </si>
  <si>
    <t>Manpower Used</t>
  </si>
  <si>
    <t>Hours Utilized</t>
  </si>
  <si>
    <t>EPMH</t>
  </si>
  <si>
    <t>153%</t>
  </si>
  <si>
    <t>-</t>
  </si>
  <si>
    <t>0%</t>
  </si>
  <si>
    <t>Inventory</t>
  </si>
  <si>
    <t>FT</t>
  </si>
  <si>
    <t>Dispatch</t>
  </si>
  <si>
    <t>DC wise EA/Line conversion - Feb'25</t>
  </si>
  <si>
    <t>Site</t>
  </si>
  <si>
    <t>Eaches / Line Total</t>
  </si>
  <si>
    <t>Ground Location (Bulk Picking)</t>
  </si>
  <si>
    <t>Picking - Shelving G0 &amp; G1 + Chocklate + High Value + Insepticides</t>
  </si>
  <si>
    <t>Siliguri Nawapura</t>
  </si>
  <si>
    <t>UoM</t>
  </si>
  <si>
    <t>Lines/Manhour</t>
  </si>
  <si>
    <t>Nidagatta</t>
  </si>
  <si>
    <t>LPMH Target</t>
  </si>
  <si>
    <t>Full Case Order Picking - GGG</t>
  </si>
  <si>
    <t>Cluster Picking - GGG</t>
  </si>
  <si>
    <t>Full Case Order Picking - PP0</t>
  </si>
  <si>
    <t>Cluster Picking - PP0</t>
  </si>
  <si>
    <t>Order Picking - PP0</t>
  </si>
  <si>
    <t>Batch Pick Step 1 - PP0</t>
  </si>
  <si>
    <t>PTL Step 1 - PP0</t>
  </si>
  <si>
    <t>Cluster Picking - PR0</t>
  </si>
  <si>
    <t>Batch Pick Step 1 - PR0</t>
  </si>
  <si>
    <t>PTL Step 1 - PR0</t>
  </si>
  <si>
    <t>Full Case Order Picking - R01</t>
  </si>
  <si>
    <t>Cluster Picking - R01</t>
  </si>
  <si>
    <t>Order Picking - R01</t>
  </si>
  <si>
    <t>Batch Pick Step 1 - R01</t>
  </si>
  <si>
    <t>PTL Step 1 - R21</t>
  </si>
  <si>
    <t>Full Case Order Picking - R21</t>
  </si>
  <si>
    <t>Order Picking - R21</t>
  </si>
  <si>
    <t>Batch Pick Step 1 - R21</t>
  </si>
  <si>
    <t>Batch Pick Step 2 - WWW</t>
  </si>
  <si>
    <t>PTL Step 2 - ADS</t>
  </si>
  <si>
    <t>Nagpur Gm Sbdc</t>
  </si>
  <si>
    <t>Hyderabad Gm 2</t>
  </si>
  <si>
    <t>Receiving verification</t>
  </si>
  <si>
    <t>Putaway in Open/Bulk area</t>
  </si>
  <si>
    <t>Putaway in pallet rack area- prime bin</t>
  </si>
  <si>
    <t>Cases putaway - Shelving</t>
  </si>
  <si>
    <t>Milestone / Comboli Bhiwandi</t>
  </si>
  <si>
    <t>Cases / manhour</t>
  </si>
  <si>
    <t>CF08</t>
  </si>
  <si>
    <t>Bhiwandi</t>
  </si>
  <si>
    <t>CPMH Target</t>
  </si>
  <si>
    <t>Nelamangala Sbdc</t>
  </si>
  <si>
    <t>Cycle Counting - Open Storage</t>
  </si>
  <si>
    <t>Cycle Counting - Pallet Prime</t>
  </si>
  <si>
    <t>Cycle Counting - Pallet Reserve</t>
  </si>
  <si>
    <t>Cycle Counting - Shelving</t>
  </si>
  <si>
    <t>Bin Audits - Pallet</t>
  </si>
  <si>
    <t>Bin Audits - Shelving</t>
  </si>
  <si>
    <t>Empty Bin Audits - Pallet</t>
  </si>
  <si>
    <t>Empty Bin Audits - Shelving</t>
  </si>
  <si>
    <t>Putaway Process Audit - Pallet</t>
  </si>
  <si>
    <t>Putaway Process Audit - Shelving</t>
  </si>
  <si>
    <t>Cycle Count Process Audits - Pallet</t>
  </si>
  <si>
    <t>Cycle Count Process Audits - Shelving</t>
  </si>
  <si>
    <t>Picking Process Audit</t>
  </si>
  <si>
    <t>Replenishment Process Audit</t>
  </si>
  <si>
    <t>Receiving Process Audit</t>
  </si>
  <si>
    <t>Bhiwandi DC TVS</t>
  </si>
  <si>
    <t>Bins / Manhour</t>
  </si>
  <si>
    <t>ASN Lines per hour</t>
  </si>
  <si>
    <t>Target</t>
  </si>
  <si>
    <t>NEW Grocery</t>
  </si>
  <si>
    <t>Pune Chakan DC</t>
  </si>
  <si>
    <t>Kulana Sbdc</t>
  </si>
  <si>
    <t>Gundla</t>
  </si>
  <si>
    <t>CE08</t>
  </si>
  <si>
    <t>Siliguri Fulbari DC</t>
  </si>
  <si>
    <t>SZBQ</t>
  </si>
  <si>
    <t>ZZIO Bismi</t>
  </si>
  <si>
    <t>BISMI</t>
  </si>
  <si>
    <t>Y122</t>
  </si>
  <si>
    <t>SOIL</t>
  </si>
  <si>
    <t>Shamshabad</t>
  </si>
  <si>
    <t>FB08</t>
  </si>
  <si>
    <t>Appanaickenpatti</t>
  </si>
  <si>
    <t>Ernakulam</t>
  </si>
  <si>
    <t>SZAJ</t>
  </si>
  <si>
    <t>Daun (Gazhiabad)</t>
  </si>
  <si>
    <t>Badli Indo Space</t>
  </si>
  <si>
    <t>SZ9J</t>
  </si>
  <si>
    <t>Indore DC</t>
  </si>
  <si>
    <t>Calicut Malapuram</t>
  </si>
  <si>
    <t>Ganesh Cmplx DC (Amta)</t>
  </si>
  <si>
    <t>FD08</t>
  </si>
  <si>
    <t>Banur</t>
  </si>
  <si>
    <t>Chennai Sbdc</t>
  </si>
  <si>
    <t>S1IP</t>
  </si>
  <si>
    <t>Jhajjar Apparel</t>
  </si>
  <si>
    <t>Soukya Apprl DC</t>
  </si>
  <si>
    <t>Sr No</t>
  </si>
  <si>
    <t>Details</t>
  </si>
  <si>
    <t>Sheet name = "Master" - It holds the
1. Master file for Eaches / line conversion factor for all DC's
2. Activity list of all functions &amp; there standard targets in cases &amp; eaches</t>
  </si>
  <si>
    <t>DC Function wise sheets -
Please enter DC Code, Date &amp;
Working hours ( basis time of report from start of the shift .
For example, if your are tracking half shift basis, update as 4, for end of the shift, update as 8 )</t>
  </si>
  <si>
    <t>Update - Name , User ID &amp; Tenure of resource ( In Days )</t>
  </si>
  <si>
    <t>Update there respective productivity in assigned zones</t>
  </si>
  <si>
    <t>Summary sheet will be auto updated</t>
  </si>
  <si>
    <t>Columns with this colour are auto calculated ; Do not change the formula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</si>
</sst>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C00000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D9E1F2"/>
      </patternFill>
    </fill>
    <fill>
      <patternFill patternType="solid">
        <fgColor rgb="FFC6E0B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</row>
    <row r="2" spans="1:6" x14ac:dyDescent="0.3">
      <c r="C2" t="s">
        <v>185</v>
      </c>
    </row>
    <row r="4" spans="1:6" x14ac:dyDescent="0.3">
      <c r="A4" s="2" t="s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abSelected="1" topLeftCell="A7" workbookViewId="0"/>
  </sheetViews>
  <sheetFormatPr defaultRowHeight="14.4" x14ac:dyDescent="0.3"/>
  <cols>
    <col min="1" max="1" width="16" customWidth="1"/>
    <col min="2" max="2" width="24" customWidth="1"/>
    <col min="3" max="3" width="12" customWidth="1"/>
    <col min="4" max="6" width="10" customWidth="1"/>
  </cols>
  <sheetData>
    <row r="1" spans="1:6" x14ac:dyDescent="0.3">
      <c r="A1" s="3" t="s">
        <v>1</v>
      </c>
      <c r="B1" s="3" t="s">
        <v>180</v>
      </c>
      <c r="C1" s="3" t="s">
        <v>181</v>
      </c>
      <c r="D1" s="4" t="s">
        <v>182</v>
      </c>
      <c r="E1" s="4" t="s">
        <v>183</v>
      </c>
      <c r="F1" s="4" t="s">
        <v>184</v>
      </c>
    </row>
    <row r="2" spans="1:6" x14ac:dyDescent="0.3">
      <c r="A2" s="5" t="s">
        <v>71</v>
      </c>
      <c r="C2" t="s">
        <v>187</v>
      </c>
      <c r="D2">
        <v>244368</v>
      </c>
      <c r="E2">
        <v>372956</v>
      </c>
    </row>
    <row r="4" spans="1:6" x14ac:dyDescent="0.3">
      <c r="E4" t="s">
        <v>188</v>
      </c>
      <c r="F4">
        <v>11.49</v>
      </c>
    </row>
    <row r="7" spans="1:6" x14ac:dyDescent="0.3">
      <c r="A7" s="1" t="s">
        <v>189</v>
      </c>
      <c r="B7">
        <v>8</v>
      </c>
    </row>
    <row r="8" spans="1:6" ht="43.2" customHeight="1" x14ac:dyDescent="0.3">
      <c r="A8" s="6" t="s">
        <v>190</v>
      </c>
      <c r="B8" s="6" t="s">
        <v>191</v>
      </c>
      <c r="C8" s="6" t="s">
        <v>192</v>
      </c>
      <c r="D8" s="6" t="s">
        <v>182</v>
      </c>
      <c r="E8" s="6" t="s">
        <v>183</v>
      </c>
      <c r="F8" s="6" t="s">
        <v>184</v>
      </c>
    </row>
    <row r="9" spans="1:6" x14ac:dyDescent="0.3">
      <c r="A9" s="7" t="s">
        <v>193</v>
      </c>
      <c r="B9" s="7" t="s">
        <v>194</v>
      </c>
      <c r="C9" s="7"/>
      <c r="D9" s="7">
        <v>7200</v>
      </c>
      <c r="E9" s="7">
        <v>27062</v>
      </c>
      <c r="F9" s="7" t="s">
        <v>195</v>
      </c>
    </row>
    <row r="10" spans="1:6" x14ac:dyDescent="0.3">
      <c r="A10" s="7" t="s">
        <v>196</v>
      </c>
      <c r="B10" s="7" t="s">
        <v>197</v>
      </c>
      <c r="C10" s="7"/>
      <c r="D10" s="7">
        <v>7200</v>
      </c>
      <c r="E10" s="7">
        <v>20282</v>
      </c>
      <c r="F10" s="7" t="s">
        <v>198</v>
      </c>
    </row>
    <row r="11" spans="1:6" x14ac:dyDescent="0.3">
      <c r="A11" s="7" t="s">
        <v>199</v>
      </c>
      <c r="B11" s="7" t="s">
        <v>200</v>
      </c>
      <c r="C11" s="7"/>
      <c r="D11" s="7">
        <v>7200</v>
      </c>
      <c r="E11" s="7">
        <v>15892</v>
      </c>
      <c r="F11" s="7" t="s">
        <v>201</v>
      </c>
    </row>
    <row r="12" spans="1:6" x14ac:dyDescent="0.3">
      <c r="A12" s="7" t="s">
        <v>202</v>
      </c>
      <c r="B12" s="7" t="s">
        <v>203</v>
      </c>
      <c r="C12" s="7"/>
      <c r="D12" s="7">
        <v>7200</v>
      </c>
      <c r="E12" s="7">
        <v>11847</v>
      </c>
      <c r="F12" s="7" t="s">
        <v>204</v>
      </c>
    </row>
    <row r="13" spans="1:6" x14ac:dyDescent="0.3">
      <c r="A13" s="7" t="s">
        <v>205</v>
      </c>
      <c r="B13" s="7" t="s">
        <v>206</v>
      </c>
      <c r="C13" s="7"/>
      <c r="D13" s="7">
        <v>7200</v>
      </c>
      <c r="E13" s="7">
        <v>10692</v>
      </c>
      <c r="F13" s="7" t="s">
        <v>207</v>
      </c>
    </row>
    <row r="14" spans="1:6" x14ac:dyDescent="0.3">
      <c r="A14" s="7" t="s">
        <v>208</v>
      </c>
      <c r="B14" s="7" t="s">
        <v>209</v>
      </c>
      <c r="C14" s="7"/>
      <c r="D14" s="7">
        <v>7200</v>
      </c>
      <c r="E14" s="7">
        <v>6022</v>
      </c>
      <c r="F14" s="7" t="s">
        <v>210</v>
      </c>
    </row>
    <row r="15" spans="1:6" x14ac:dyDescent="0.3">
      <c r="A15" s="7" t="s">
        <v>211</v>
      </c>
      <c r="B15" s="7" t="s">
        <v>212</v>
      </c>
      <c r="C15" s="7"/>
      <c r="D15" s="7">
        <v>7200</v>
      </c>
      <c r="E15" s="7">
        <v>5444</v>
      </c>
      <c r="F15" s="7" t="s">
        <v>213</v>
      </c>
    </row>
    <row r="16" spans="1:6" x14ac:dyDescent="0.3">
      <c r="A16" s="7" t="s">
        <v>214</v>
      </c>
      <c r="B16" s="7" t="s">
        <v>215</v>
      </c>
      <c r="C16" s="7"/>
      <c r="D16" s="7">
        <v>7200</v>
      </c>
      <c r="E16" s="7">
        <v>4482</v>
      </c>
      <c r="F16" s="7" t="s">
        <v>216</v>
      </c>
    </row>
    <row r="17" spans="1:6" x14ac:dyDescent="0.3">
      <c r="A17" s="7" t="s">
        <v>217</v>
      </c>
      <c r="B17" s="7" t="s">
        <v>218</v>
      </c>
      <c r="C17" s="7"/>
      <c r="D17" s="7">
        <v>3072</v>
      </c>
      <c r="E17" s="7">
        <v>4252</v>
      </c>
      <c r="F17" s="7" t="s">
        <v>219</v>
      </c>
    </row>
    <row r="18" spans="1:6" x14ac:dyDescent="0.3">
      <c r="A18" s="7" t="s">
        <v>220</v>
      </c>
      <c r="B18" s="7" t="s">
        <v>221</v>
      </c>
      <c r="C18" s="7"/>
      <c r="D18" s="7">
        <v>3072</v>
      </c>
      <c r="E18" s="7">
        <v>4030</v>
      </c>
      <c r="F18" s="7" t="s">
        <v>222</v>
      </c>
    </row>
    <row r="19" spans="1:6" x14ac:dyDescent="0.3">
      <c r="A19" s="7" t="s">
        <v>223</v>
      </c>
      <c r="B19" s="7" t="s">
        <v>224</v>
      </c>
      <c r="C19" s="7"/>
      <c r="D19" s="7">
        <v>3072</v>
      </c>
      <c r="E19" s="7">
        <v>3755</v>
      </c>
      <c r="F19" s="7" t="s">
        <v>225</v>
      </c>
    </row>
    <row r="20" spans="1:6" x14ac:dyDescent="0.3">
      <c r="A20" s="7" t="s">
        <v>226</v>
      </c>
      <c r="B20" s="7" t="s">
        <v>227</v>
      </c>
      <c r="C20" s="7"/>
      <c r="D20" s="7">
        <v>3072</v>
      </c>
      <c r="E20" s="7">
        <v>3021</v>
      </c>
      <c r="F20" s="7" t="s">
        <v>228</v>
      </c>
    </row>
    <row r="21" spans="1:6" x14ac:dyDescent="0.3">
      <c r="A21" s="7" t="s">
        <v>229</v>
      </c>
      <c r="B21" s="7" t="s">
        <v>230</v>
      </c>
      <c r="C21" s="7"/>
      <c r="D21" s="7">
        <v>3072</v>
      </c>
      <c r="E21" s="7">
        <v>2374</v>
      </c>
      <c r="F21" s="7" t="s">
        <v>231</v>
      </c>
    </row>
    <row r="22" spans="1:6" x14ac:dyDescent="0.3">
      <c r="A22" s="7" t="s">
        <v>232</v>
      </c>
      <c r="B22" s="7" t="s">
        <v>233</v>
      </c>
      <c r="C22" s="7"/>
      <c r="D22" s="7">
        <v>3072</v>
      </c>
      <c r="E22" s="7">
        <v>1798</v>
      </c>
      <c r="F22" s="7" t="s">
        <v>234</v>
      </c>
    </row>
    <row r="23" spans="1:6" x14ac:dyDescent="0.3">
      <c r="A23" s="7" t="s">
        <v>235</v>
      </c>
      <c r="B23" s="7" t="s">
        <v>236</v>
      </c>
      <c r="C23" s="7"/>
      <c r="D23" s="7">
        <v>3072</v>
      </c>
      <c r="E23" s="7">
        <v>1770</v>
      </c>
      <c r="F23" s="7" t="s">
        <v>237</v>
      </c>
    </row>
    <row r="24" spans="1:6" x14ac:dyDescent="0.3">
      <c r="A24" s="7" t="s">
        <v>238</v>
      </c>
      <c r="B24" s="7" t="s">
        <v>239</v>
      </c>
      <c r="C24" s="7"/>
      <c r="D24" s="7">
        <v>3072</v>
      </c>
      <c r="E24" s="7">
        <v>1630</v>
      </c>
      <c r="F24" s="7" t="s">
        <v>240</v>
      </c>
    </row>
    <row r="25" spans="1:6" x14ac:dyDescent="0.3">
      <c r="A25" s="7" t="s">
        <v>241</v>
      </c>
      <c r="B25" s="7" t="s">
        <v>242</v>
      </c>
      <c r="C25" s="7"/>
      <c r="D25" s="7">
        <v>3072</v>
      </c>
      <c r="E25" s="7">
        <v>1537</v>
      </c>
      <c r="F25" s="7" t="s">
        <v>243</v>
      </c>
    </row>
    <row r="26" spans="1:6" x14ac:dyDescent="0.3">
      <c r="A26" s="7" t="s">
        <v>244</v>
      </c>
      <c r="B26" s="7" t="s">
        <v>245</v>
      </c>
      <c r="C26" s="7"/>
      <c r="D26" s="7">
        <v>5600</v>
      </c>
      <c r="E26" s="7">
        <v>12433</v>
      </c>
      <c r="F26" s="7" t="s">
        <v>246</v>
      </c>
    </row>
    <row r="27" spans="1:6" x14ac:dyDescent="0.3">
      <c r="A27" s="7" t="s">
        <v>247</v>
      </c>
      <c r="B27" s="7" t="s">
        <v>248</v>
      </c>
      <c r="C27" s="7"/>
      <c r="D27" s="7">
        <v>5600</v>
      </c>
      <c r="E27" s="7">
        <v>11610</v>
      </c>
      <c r="F27" s="7" t="s">
        <v>249</v>
      </c>
    </row>
    <row r="28" spans="1:6" x14ac:dyDescent="0.3">
      <c r="A28" s="7" t="s">
        <v>250</v>
      </c>
      <c r="B28" s="7" t="s">
        <v>251</v>
      </c>
      <c r="C28" s="7"/>
      <c r="D28" s="7">
        <v>5600</v>
      </c>
      <c r="E28" s="7">
        <v>7093</v>
      </c>
      <c r="F28" s="7" t="s">
        <v>252</v>
      </c>
    </row>
    <row r="29" spans="1:6" x14ac:dyDescent="0.3">
      <c r="A29" s="7" t="s">
        <v>253</v>
      </c>
      <c r="B29" s="7" t="s">
        <v>254</v>
      </c>
      <c r="C29" s="7"/>
      <c r="D29" s="7">
        <v>3072</v>
      </c>
      <c r="E29" s="7">
        <v>5168</v>
      </c>
      <c r="F29" s="7" t="s">
        <v>255</v>
      </c>
    </row>
    <row r="30" spans="1:6" x14ac:dyDescent="0.3">
      <c r="A30" s="7" t="s">
        <v>256</v>
      </c>
      <c r="B30" s="7" t="s">
        <v>257</v>
      </c>
      <c r="C30" s="7"/>
      <c r="D30" s="7">
        <v>3072</v>
      </c>
      <c r="E30" s="7">
        <v>2388</v>
      </c>
      <c r="F30" s="7" t="s">
        <v>258</v>
      </c>
    </row>
    <row r="31" spans="1:6" x14ac:dyDescent="0.3">
      <c r="A31" s="7" t="s">
        <v>259</v>
      </c>
      <c r="B31" s="7" t="s">
        <v>260</v>
      </c>
      <c r="C31" s="7"/>
      <c r="D31" s="7">
        <v>3072</v>
      </c>
      <c r="E31" s="7">
        <v>2317</v>
      </c>
      <c r="F31" s="7" t="s">
        <v>261</v>
      </c>
    </row>
    <row r="32" spans="1:6" x14ac:dyDescent="0.3">
      <c r="A32" s="7" t="s">
        <v>262</v>
      </c>
      <c r="B32" s="7" t="s">
        <v>263</v>
      </c>
      <c r="C32" s="7"/>
      <c r="D32" s="7">
        <v>3072</v>
      </c>
      <c r="E32" s="7">
        <v>2279</v>
      </c>
      <c r="F32" s="7" t="s">
        <v>264</v>
      </c>
    </row>
    <row r="33" spans="1:6" x14ac:dyDescent="0.3">
      <c r="A33" s="7" t="s">
        <v>265</v>
      </c>
      <c r="B33" s="7" t="s">
        <v>266</v>
      </c>
      <c r="C33" s="7"/>
      <c r="D33" s="7">
        <v>3072</v>
      </c>
      <c r="E33" s="7">
        <v>2077</v>
      </c>
      <c r="F33" s="7" t="s">
        <v>267</v>
      </c>
    </row>
    <row r="34" spans="1:6" x14ac:dyDescent="0.3">
      <c r="A34" s="7" t="s">
        <v>268</v>
      </c>
      <c r="B34" s="7" t="s">
        <v>269</v>
      </c>
      <c r="C34" s="7"/>
      <c r="D34" s="7">
        <v>3072</v>
      </c>
      <c r="E34" s="7">
        <v>1763</v>
      </c>
      <c r="F34" s="7" t="s">
        <v>270</v>
      </c>
    </row>
    <row r="35" spans="1:6" x14ac:dyDescent="0.3">
      <c r="A35" s="7" t="s">
        <v>271</v>
      </c>
      <c r="B35" s="7" t="s">
        <v>272</v>
      </c>
      <c r="C35" s="7"/>
      <c r="D35" s="7">
        <v>3072</v>
      </c>
      <c r="E35" s="7">
        <v>1745</v>
      </c>
      <c r="F35" s="7" t="s">
        <v>270</v>
      </c>
    </row>
    <row r="36" spans="1:6" x14ac:dyDescent="0.3">
      <c r="A36" s="7" t="s">
        <v>273</v>
      </c>
      <c r="B36" s="7" t="s">
        <v>274</v>
      </c>
      <c r="C36" s="7"/>
      <c r="D36" s="7">
        <v>3072</v>
      </c>
      <c r="E36" s="7">
        <v>1652</v>
      </c>
      <c r="F36" s="7" t="s">
        <v>275</v>
      </c>
    </row>
    <row r="37" spans="1:6" x14ac:dyDescent="0.3">
      <c r="A37" s="7" t="s">
        <v>276</v>
      </c>
      <c r="B37" s="7" t="s">
        <v>277</v>
      </c>
      <c r="C37" s="7"/>
      <c r="D37" s="7">
        <v>3072</v>
      </c>
      <c r="E37" s="7">
        <v>1643</v>
      </c>
      <c r="F37" s="7" t="s">
        <v>240</v>
      </c>
    </row>
    <row r="38" spans="1:6" x14ac:dyDescent="0.3">
      <c r="A38" s="7" t="s">
        <v>278</v>
      </c>
      <c r="B38" s="7" t="s">
        <v>279</v>
      </c>
      <c r="C38" s="7"/>
      <c r="D38" s="7">
        <v>3072</v>
      </c>
      <c r="E38" s="7">
        <v>1478</v>
      </c>
      <c r="F38" s="7" t="s">
        <v>280</v>
      </c>
    </row>
    <row r="39" spans="1:6" x14ac:dyDescent="0.3">
      <c r="A39" s="7" t="s">
        <v>281</v>
      </c>
      <c r="B39" s="7" t="s">
        <v>282</v>
      </c>
      <c r="C39" s="7"/>
      <c r="D39" s="7">
        <v>3072</v>
      </c>
      <c r="E39" s="7">
        <v>1355</v>
      </c>
      <c r="F39" s="7" t="s">
        <v>283</v>
      </c>
    </row>
    <row r="40" spans="1:6" x14ac:dyDescent="0.3">
      <c r="A40" s="7" t="s">
        <v>284</v>
      </c>
      <c r="B40" s="7" t="s">
        <v>285</v>
      </c>
      <c r="C40" s="7"/>
      <c r="D40" s="7">
        <v>3072</v>
      </c>
      <c r="E40" s="7">
        <v>1315</v>
      </c>
      <c r="F40" s="7" t="s">
        <v>286</v>
      </c>
    </row>
    <row r="41" spans="1:6" x14ac:dyDescent="0.3">
      <c r="A41" s="7" t="s">
        <v>287</v>
      </c>
      <c r="B41" s="7" t="s">
        <v>288</v>
      </c>
      <c r="C41" s="7"/>
      <c r="D41" s="7">
        <v>3072</v>
      </c>
      <c r="E41" s="7">
        <v>1278</v>
      </c>
      <c r="F41" s="7" t="s">
        <v>289</v>
      </c>
    </row>
    <row r="42" spans="1:6" x14ac:dyDescent="0.3">
      <c r="A42" s="7" t="s">
        <v>290</v>
      </c>
      <c r="B42" s="7" t="s">
        <v>291</v>
      </c>
      <c r="C42" s="7"/>
      <c r="D42" s="7">
        <v>2352</v>
      </c>
      <c r="E42" s="7">
        <v>2824</v>
      </c>
      <c r="F42" s="7" t="s">
        <v>292</v>
      </c>
    </row>
    <row r="43" spans="1:6" x14ac:dyDescent="0.3">
      <c r="A43" s="7" t="s">
        <v>293</v>
      </c>
      <c r="B43" s="7" t="s">
        <v>294</v>
      </c>
      <c r="C43" s="7"/>
      <c r="D43" s="7">
        <v>2352</v>
      </c>
      <c r="E43" s="7">
        <v>2803</v>
      </c>
      <c r="F43" s="7" t="s">
        <v>295</v>
      </c>
    </row>
    <row r="44" spans="1:6" x14ac:dyDescent="0.3">
      <c r="A44" s="7" t="s">
        <v>296</v>
      </c>
      <c r="B44" s="7" t="s">
        <v>297</v>
      </c>
      <c r="C44" s="7"/>
      <c r="D44" s="7">
        <v>2352</v>
      </c>
      <c r="E44" s="7">
        <v>2746</v>
      </c>
      <c r="F44" s="7" t="s">
        <v>298</v>
      </c>
    </row>
    <row r="45" spans="1:6" x14ac:dyDescent="0.3">
      <c r="A45" s="7" t="s">
        <v>299</v>
      </c>
      <c r="B45" s="7" t="s">
        <v>300</v>
      </c>
      <c r="C45" s="7"/>
      <c r="D45" s="7">
        <v>2352</v>
      </c>
      <c r="E45" s="7">
        <v>2504</v>
      </c>
      <c r="F45" s="7" t="s">
        <v>301</v>
      </c>
    </row>
    <row r="46" spans="1:6" x14ac:dyDescent="0.3">
      <c r="A46" s="7" t="s">
        <v>302</v>
      </c>
      <c r="B46" s="7" t="s">
        <v>303</v>
      </c>
      <c r="C46" s="7"/>
      <c r="D46" s="7">
        <v>2352</v>
      </c>
      <c r="E46" s="7">
        <v>2393</v>
      </c>
      <c r="F46" s="7" t="s">
        <v>304</v>
      </c>
    </row>
    <row r="47" spans="1:6" x14ac:dyDescent="0.3">
      <c r="A47" s="7" t="s">
        <v>305</v>
      </c>
      <c r="B47" s="7" t="s">
        <v>306</v>
      </c>
      <c r="C47" s="7"/>
      <c r="D47" s="7">
        <v>2352</v>
      </c>
      <c r="E47" s="7">
        <v>2365</v>
      </c>
      <c r="F47" s="7" t="s">
        <v>307</v>
      </c>
    </row>
    <row r="48" spans="1:6" x14ac:dyDescent="0.3">
      <c r="A48" s="7" t="s">
        <v>308</v>
      </c>
      <c r="B48" s="7" t="s">
        <v>309</v>
      </c>
      <c r="C48" s="7"/>
      <c r="D48" s="7">
        <v>2352</v>
      </c>
      <c r="E48" s="7">
        <v>2093</v>
      </c>
      <c r="F48" s="7" t="s">
        <v>310</v>
      </c>
    </row>
    <row r="49" spans="1:6" x14ac:dyDescent="0.3">
      <c r="A49" s="7" t="s">
        <v>311</v>
      </c>
      <c r="B49" s="7" t="s">
        <v>312</v>
      </c>
      <c r="C49" s="7"/>
      <c r="D49" s="7">
        <v>2352</v>
      </c>
      <c r="E49" s="7">
        <v>1807</v>
      </c>
      <c r="F49" s="7" t="s">
        <v>231</v>
      </c>
    </row>
    <row r="50" spans="1:6" x14ac:dyDescent="0.3">
      <c r="A50" s="7" t="s">
        <v>313</v>
      </c>
      <c r="B50" s="7" t="s">
        <v>314</v>
      </c>
      <c r="C50" s="7"/>
      <c r="D50" s="7">
        <v>2352</v>
      </c>
      <c r="E50" s="7">
        <v>1656</v>
      </c>
      <c r="F50" s="7" t="s">
        <v>315</v>
      </c>
    </row>
    <row r="51" spans="1:6" x14ac:dyDescent="0.3">
      <c r="A51" s="7" t="s">
        <v>316</v>
      </c>
      <c r="B51" s="7" t="s">
        <v>317</v>
      </c>
      <c r="C51" s="7"/>
      <c r="D51" s="7">
        <v>2352</v>
      </c>
      <c r="E51" s="7">
        <v>1556</v>
      </c>
      <c r="F51" s="7" t="s">
        <v>318</v>
      </c>
    </row>
    <row r="52" spans="1:6" x14ac:dyDescent="0.3">
      <c r="A52" s="7" t="s">
        <v>319</v>
      </c>
      <c r="B52" s="7" t="s">
        <v>320</v>
      </c>
      <c r="C52" s="7"/>
      <c r="D52" s="7">
        <v>2352</v>
      </c>
      <c r="E52" s="7">
        <v>1508</v>
      </c>
      <c r="F52" s="7" t="s">
        <v>321</v>
      </c>
    </row>
    <row r="53" spans="1:6" x14ac:dyDescent="0.3">
      <c r="A53" s="7" t="s">
        <v>322</v>
      </c>
      <c r="B53" s="7" t="s">
        <v>323</v>
      </c>
      <c r="C53" s="7"/>
      <c r="D53" s="7">
        <v>2352</v>
      </c>
      <c r="E53" s="7">
        <v>1411</v>
      </c>
      <c r="F53" s="7" t="s">
        <v>324</v>
      </c>
    </row>
    <row r="54" spans="1:6" x14ac:dyDescent="0.3">
      <c r="A54" s="7" t="s">
        <v>325</v>
      </c>
      <c r="B54" s="7" t="s">
        <v>326</v>
      </c>
      <c r="C54" s="7"/>
      <c r="D54" s="7">
        <v>2352</v>
      </c>
      <c r="E54" s="7">
        <v>1241</v>
      </c>
      <c r="F54" s="7" t="s">
        <v>240</v>
      </c>
    </row>
    <row r="55" spans="1:6" x14ac:dyDescent="0.3">
      <c r="A55" s="7" t="s">
        <v>327</v>
      </c>
      <c r="B55" s="7" t="s">
        <v>328</v>
      </c>
      <c r="C55" s="7"/>
      <c r="D55" s="7">
        <v>2352</v>
      </c>
      <c r="E55" s="7">
        <v>1115</v>
      </c>
      <c r="F55" s="7" t="s">
        <v>329</v>
      </c>
    </row>
    <row r="56" spans="1:6" x14ac:dyDescent="0.3">
      <c r="A56" s="7" t="s">
        <v>330</v>
      </c>
      <c r="B56" s="7" t="s">
        <v>331</v>
      </c>
      <c r="C56" s="7"/>
      <c r="D56" s="7">
        <v>2352</v>
      </c>
      <c r="E56" s="7">
        <v>1068</v>
      </c>
      <c r="F56" s="7" t="s">
        <v>332</v>
      </c>
    </row>
    <row r="57" spans="1:6" x14ac:dyDescent="0.3">
      <c r="A57" s="7" t="s">
        <v>333</v>
      </c>
      <c r="B57" s="7" t="s">
        <v>334</v>
      </c>
      <c r="C57" s="7"/>
      <c r="D57" s="7">
        <v>2352</v>
      </c>
      <c r="E57" s="7">
        <v>889</v>
      </c>
      <c r="F57" s="7" t="s">
        <v>335</v>
      </c>
    </row>
    <row r="58" spans="1:6" x14ac:dyDescent="0.3">
      <c r="A58" s="7" t="s">
        <v>336</v>
      </c>
      <c r="B58" s="7" t="s">
        <v>337</v>
      </c>
      <c r="C58" s="7"/>
      <c r="D58" s="7">
        <v>2352</v>
      </c>
      <c r="E58" s="7">
        <v>399</v>
      </c>
      <c r="F58" s="7" t="s">
        <v>338</v>
      </c>
    </row>
    <row r="59" spans="1:6" x14ac:dyDescent="0.3">
      <c r="A59" s="7" t="s">
        <v>339</v>
      </c>
      <c r="B59" s="7" t="s">
        <v>340</v>
      </c>
      <c r="C59" s="7"/>
      <c r="D59" s="7">
        <v>2352</v>
      </c>
      <c r="E59" s="7">
        <v>338</v>
      </c>
      <c r="F59" s="7" t="s">
        <v>341</v>
      </c>
    </row>
    <row r="60" spans="1:6" x14ac:dyDescent="0.3">
      <c r="A60" s="7" t="s">
        <v>342</v>
      </c>
      <c r="B60" s="7" t="s">
        <v>343</v>
      </c>
      <c r="C60" s="7"/>
      <c r="D60" s="7">
        <v>14400</v>
      </c>
      <c r="E60" s="7">
        <v>111786</v>
      </c>
      <c r="F60" s="7" t="s">
        <v>344</v>
      </c>
    </row>
    <row r="61" spans="1:6" x14ac:dyDescent="0.3">
      <c r="A61" s="7" t="s">
        <v>345</v>
      </c>
      <c r="B61" s="7" t="s">
        <v>346</v>
      </c>
      <c r="C61" s="7"/>
      <c r="D61" s="7">
        <v>14400</v>
      </c>
      <c r="E61" s="7">
        <v>16060</v>
      </c>
      <c r="F61" s="7" t="s">
        <v>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Z6"/>
  <sheetViews>
    <sheetView topLeftCell="L1" workbookViewId="0"/>
  </sheetViews>
  <sheetFormatPr defaultRowHeight="14.4" x14ac:dyDescent="0.3"/>
  <cols>
    <col min="2" max="2" width="8" customWidth="1"/>
    <col min="3" max="26" width="12" customWidth="1"/>
  </cols>
  <sheetData>
    <row r="2" spans="2:26" x14ac:dyDescent="0.3">
      <c r="B2" s="7"/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  <c r="N2" s="8">
        <v>13</v>
      </c>
      <c r="O2" s="8">
        <v>14</v>
      </c>
      <c r="P2" s="8">
        <v>15</v>
      </c>
      <c r="Q2" s="8">
        <v>16</v>
      </c>
      <c r="R2" s="8">
        <v>17</v>
      </c>
      <c r="S2" s="8">
        <v>18</v>
      </c>
      <c r="T2" s="8">
        <v>19</v>
      </c>
      <c r="U2" s="8">
        <v>20</v>
      </c>
      <c r="V2" s="8">
        <v>21</v>
      </c>
      <c r="W2" s="8">
        <v>22</v>
      </c>
      <c r="X2" s="8">
        <v>23</v>
      </c>
      <c r="Y2" s="8">
        <v>24</v>
      </c>
      <c r="Z2" s="8">
        <v>25</v>
      </c>
    </row>
    <row r="3" spans="2:26" ht="28.8" customHeight="1" x14ac:dyDescent="0.3">
      <c r="B3" s="7"/>
      <c r="C3" s="8" t="s">
        <v>350</v>
      </c>
      <c r="D3" s="8" t="s">
        <v>350</v>
      </c>
      <c r="E3" s="8" t="s">
        <v>350</v>
      </c>
      <c r="F3" s="8" t="s">
        <v>350</v>
      </c>
      <c r="G3" s="8" t="s">
        <v>350</v>
      </c>
      <c r="H3" s="8" t="s">
        <v>350</v>
      </c>
      <c r="I3" s="8" t="s">
        <v>350</v>
      </c>
      <c r="J3" s="8" t="s">
        <v>350</v>
      </c>
      <c r="K3" s="8" t="s">
        <v>350</v>
      </c>
      <c r="L3" s="8" t="s">
        <v>350</v>
      </c>
      <c r="M3" s="8" t="s">
        <v>350</v>
      </c>
      <c r="N3" s="8" t="s">
        <v>350</v>
      </c>
      <c r="O3" s="8" t="s">
        <v>350</v>
      </c>
      <c r="P3" s="8" t="s">
        <v>350</v>
      </c>
      <c r="Q3" s="8" t="s">
        <v>350</v>
      </c>
      <c r="R3" s="8" t="s">
        <v>350</v>
      </c>
      <c r="S3" s="8" t="s">
        <v>350</v>
      </c>
      <c r="T3" s="8" t="s">
        <v>350</v>
      </c>
      <c r="U3" s="8" t="s">
        <v>350</v>
      </c>
      <c r="V3" s="8" t="s">
        <v>350</v>
      </c>
      <c r="W3" s="8" t="s">
        <v>350</v>
      </c>
      <c r="X3" s="8" t="s">
        <v>350</v>
      </c>
      <c r="Y3" s="8" t="s">
        <v>350</v>
      </c>
      <c r="Z3" s="8" t="s">
        <v>350</v>
      </c>
    </row>
    <row r="4" spans="2:26" ht="45" customHeight="1" x14ac:dyDescent="0.3">
      <c r="B4" s="7"/>
      <c r="C4" s="18" t="s">
        <v>351</v>
      </c>
      <c r="D4" s="19"/>
      <c r="E4" s="18" t="s">
        <v>352</v>
      </c>
      <c r="F4" s="20"/>
      <c r="G4" s="20"/>
      <c r="H4" s="20"/>
      <c r="I4" s="20"/>
      <c r="J4" s="19"/>
      <c r="K4" s="18" t="s">
        <v>353</v>
      </c>
      <c r="L4" s="20"/>
      <c r="M4" s="19"/>
      <c r="N4" s="18" t="s">
        <v>354</v>
      </c>
      <c r="O4" s="20"/>
      <c r="P4" s="20"/>
      <c r="Q4" s="20"/>
      <c r="R4" s="20"/>
      <c r="S4" s="19"/>
      <c r="T4" s="18" t="s">
        <v>355</v>
      </c>
      <c r="U4" s="20"/>
      <c r="V4" s="20"/>
      <c r="W4" s="20"/>
      <c r="X4" s="19"/>
      <c r="Y4" s="18" t="s">
        <v>356</v>
      </c>
      <c r="Z4" s="19"/>
    </row>
    <row r="5" spans="2:26" ht="45" customHeight="1" x14ac:dyDescent="0.3">
      <c r="B5" s="7"/>
      <c r="C5" s="10" t="s">
        <v>357</v>
      </c>
      <c r="D5" s="10" t="s">
        <v>358</v>
      </c>
      <c r="E5" s="10" t="s">
        <v>357</v>
      </c>
      <c r="F5" s="10" t="s">
        <v>358</v>
      </c>
      <c r="G5" s="10" t="s">
        <v>359</v>
      </c>
      <c r="H5" s="10" t="s">
        <v>360</v>
      </c>
      <c r="I5" s="10" t="s">
        <v>361</v>
      </c>
      <c r="J5" s="10" t="s">
        <v>362</v>
      </c>
      <c r="K5" s="10" t="s">
        <v>358</v>
      </c>
      <c r="L5" s="10" t="s">
        <v>363</v>
      </c>
      <c r="M5" s="10" t="s">
        <v>362</v>
      </c>
      <c r="N5" s="10" t="s">
        <v>357</v>
      </c>
      <c r="O5" s="10" t="s">
        <v>358</v>
      </c>
      <c r="P5" s="10" t="s">
        <v>359</v>
      </c>
      <c r="Q5" s="10" t="s">
        <v>360</v>
      </c>
      <c r="R5" s="10" t="s">
        <v>361</v>
      </c>
      <c r="S5" s="10" t="s">
        <v>362</v>
      </c>
      <c r="T5" s="10" t="s">
        <v>357</v>
      </c>
      <c r="U5" s="10" t="s">
        <v>359</v>
      </c>
      <c r="V5" s="10" t="s">
        <v>360</v>
      </c>
      <c r="W5" s="10" t="s">
        <v>361</v>
      </c>
      <c r="X5" s="10" t="s">
        <v>362</v>
      </c>
      <c r="Y5" s="10" t="s">
        <v>364</v>
      </c>
      <c r="Z5" s="10" t="s">
        <v>365</v>
      </c>
    </row>
    <row r="6" spans="2:26" x14ac:dyDescent="0.3">
      <c r="B6" s="11" t="s">
        <v>71</v>
      </c>
      <c r="C6" s="8">
        <v>60</v>
      </c>
      <c r="D6" s="8">
        <v>45</v>
      </c>
      <c r="E6" s="8">
        <v>25</v>
      </c>
      <c r="F6" s="8">
        <v>35</v>
      </c>
      <c r="G6" s="8">
        <v>12</v>
      </c>
      <c r="H6" s="8">
        <v>12</v>
      </c>
      <c r="I6" s="8">
        <v>20</v>
      </c>
      <c r="J6" s="8"/>
      <c r="K6" s="8">
        <v>35</v>
      </c>
      <c r="L6" s="8"/>
      <c r="M6" s="8"/>
      <c r="N6" s="8">
        <v>35</v>
      </c>
      <c r="O6" s="8">
        <v>35</v>
      </c>
      <c r="P6" s="8">
        <v>8</v>
      </c>
      <c r="Q6" s="8">
        <v>8</v>
      </c>
      <c r="R6" s="8"/>
      <c r="S6" s="8"/>
      <c r="T6" s="8">
        <v>25</v>
      </c>
      <c r="U6" s="8">
        <v>7</v>
      </c>
      <c r="V6" s="8">
        <v>7</v>
      </c>
      <c r="W6" s="8">
        <v>6</v>
      </c>
      <c r="X6" s="8">
        <v>6</v>
      </c>
      <c r="Y6" s="8">
        <v>6</v>
      </c>
      <c r="Z6" s="8">
        <v>6</v>
      </c>
    </row>
  </sheetData>
  <mergeCells count="6">
    <mergeCell ref="C4:D4"/>
    <mergeCell ref="Y4:Z4"/>
    <mergeCell ref="K4:M4"/>
    <mergeCell ref="E4:J4"/>
    <mergeCell ref="N4:S4"/>
    <mergeCell ref="T4:X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5" customWidth="1"/>
    <col min="2" max="2" width="24" customWidth="1"/>
    <col min="3" max="33" width="6" customWidth="1"/>
    <col min="34" max="34" width="10" customWidth="1"/>
  </cols>
  <sheetData>
    <row r="1" spans="1:34" x14ac:dyDescent="0.3">
      <c r="A1" s="14" t="s">
        <v>191</v>
      </c>
      <c r="B1" s="14" t="s">
        <v>348</v>
      </c>
      <c r="C1" s="14">
        <v>1</v>
      </c>
      <c r="D1" s="14">
        <v>2</v>
      </c>
      <c r="E1" s="14">
        <v>3</v>
      </c>
      <c r="F1" s="14">
        <v>4</v>
      </c>
      <c r="G1" s="14">
        <v>5</v>
      </c>
      <c r="H1" s="14">
        <v>6</v>
      </c>
      <c r="I1" s="14">
        <v>7</v>
      </c>
      <c r="J1" s="14">
        <v>8</v>
      </c>
      <c r="K1" s="14">
        <v>9</v>
      </c>
      <c r="L1" s="14">
        <v>10</v>
      </c>
      <c r="M1" s="14">
        <v>11</v>
      </c>
      <c r="N1" s="14">
        <v>12</v>
      </c>
      <c r="O1" s="14">
        <v>13</v>
      </c>
      <c r="P1" s="14">
        <v>14</v>
      </c>
      <c r="Q1" s="14">
        <v>15</v>
      </c>
      <c r="R1" s="14">
        <v>16</v>
      </c>
      <c r="S1" s="14">
        <v>17</v>
      </c>
      <c r="T1" s="14">
        <v>18</v>
      </c>
      <c r="U1" s="14">
        <v>19</v>
      </c>
      <c r="V1" s="14">
        <v>20</v>
      </c>
      <c r="W1" s="14">
        <v>21</v>
      </c>
      <c r="X1" s="14">
        <v>22</v>
      </c>
      <c r="Y1" s="14">
        <v>23</v>
      </c>
      <c r="Z1" s="14">
        <v>24</v>
      </c>
      <c r="AA1" s="14">
        <v>25</v>
      </c>
      <c r="AB1" s="14">
        <v>26</v>
      </c>
      <c r="AC1" s="14">
        <v>27</v>
      </c>
      <c r="AD1" s="14">
        <v>28</v>
      </c>
      <c r="AE1" s="14">
        <v>29</v>
      </c>
      <c r="AF1" s="14">
        <v>30</v>
      </c>
      <c r="AG1" s="14">
        <v>31</v>
      </c>
      <c r="AH1" s="14" t="s">
        <v>349</v>
      </c>
    </row>
    <row r="2" spans="1:34" x14ac:dyDescent="0.3">
      <c r="A2" s="15" t="s">
        <v>193</v>
      </c>
      <c r="B2" s="15" t="s">
        <v>194</v>
      </c>
      <c r="C2" s="16">
        <v>0</v>
      </c>
      <c r="D2" s="16">
        <v>930</v>
      </c>
      <c r="E2" s="16">
        <v>860</v>
      </c>
      <c r="F2" s="16">
        <v>0</v>
      </c>
      <c r="G2" s="16">
        <v>836</v>
      </c>
      <c r="H2" s="16">
        <v>1256</v>
      </c>
      <c r="I2" s="16">
        <v>1127</v>
      </c>
      <c r="J2" s="16">
        <v>1157</v>
      </c>
      <c r="K2" s="16">
        <v>0</v>
      </c>
      <c r="L2" s="16">
        <v>789</v>
      </c>
      <c r="M2" s="16">
        <v>830</v>
      </c>
      <c r="N2" s="16">
        <v>922</v>
      </c>
      <c r="O2" s="16">
        <v>1165</v>
      </c>
      <c r="P2" s="16">
        <v>1138</v>
      </c>
      <c r="Q2" s="16">
        <v>1240</v>
      </c>
      <c r="R2" s="16">
        <v>1230</v>
      </c>
      <c r="S2" s="16">
        <v>1045</v>
      </c>
      <c r="T2" s="16">
        <v>1064</v>
      </c>
      <c r="U2" s="16">
        <v>952</v>
      </c>
      <c r="V2" s="16">
        <v>1341</v>
      </c>
      <c r="W2" s="16">
        <v>0</v>
      </c>
      <c r="X2" s="16">
        <v>1268</v>
      </c>
      <c r="Y2" s="16">
        <v>873</v>
      </c>
      <c r="Z2" s="16">
        <v>0</v>
      </c>
      <c r="AA2" s="16">
        <v>1047</v>
      </c>
      <c r="AB2" s="16">
        <v>951</v>
      </c>
      <c r="AC2" s="16">
        <v>910</v>
      </c>
      <c r="AD2" s="16">
        <v>1271</v>
      </c>
      <c r="AE2" s="16">
        <v>836</v>
      </c>
      <c r="AF2" s="16">
        <v>1019</v>
      </c>
      <c r="AG2" s="16">
        <v>1005</v>
      </c>
      <c r="AH2" s="17">
        <f t="shared" ref="AH2:AH33" si="0">SUM(C2:AG2)</f>
        <v>27062</v>
      </c>
    </row>
    <row r="3" spans="1:34" x14ac:dyDescent="0.3">
      <c r="A3" s="15" t="s">
        <v>196</v>
      </c>
      <c r="B3" s="15" t="s">
        <v>197</v>
      </c>
      <c r="C3" s="16">
        <v>904</v>
      </c>
      <c r="D3" s="16">
        <v>0</v>
      </c>
      <c r="E3" s="16">
        <v>811</v>
      </c>
      <c r="F3" s="16">
        <v>1020</v>
      </c>
      <c r="G3" s="16">
        <v>736</v>
      </c>
      <c r="H3" s="16">
        <v>819</v>
      </c>
      <c r="I3" s="16">
        <v>951</v>
      </c>
      <c r="J3" s="16">
        <v>851</v>
      </c>
      <c r="K3" s="16">
        <v>0</v>
      </c>
      <c r="L3" s="16">
        <v>967</v>
      </c>
      <c r="M3" s="16">
        <v>831</v>
      </c>
      <c r="N3" s="16">
        <v>0</v>
      </c>
      <c r="O3" s="16">
        <v>892</v>
      </c>
      <c r="P3" s="16">
        <v>578</v>
      </c>
      <c r="Q3" s="16">
        <v>665</v>
      </c>
      <c r="R3" s="16">
        <v>694</v>
      </c>
      <c r="S3" s="16">
        <v>594</v>
      </c>
      <c r="T3" s="16">
        <v>667</v>
      </c>
      <c r="U3" s="16">
        <v>604</v>
      </c>
      <c r="V3" s="16">
        <v>0</v>
      </c>
      <c r="W3" s="16">
        <v>688</v>
      </c>
      <c r="X3" s="16">
        <v>859</v>
      </c>
      <c r="Y3" s="16">
        <v>730</v>
      </c>
      <c r="Z3" s="16">
        <v>732</v>
      </c>
      <c r="AA3" s="16">
        <v>656</v>
      </c>
      <c r="AB3" s="16">
        <v>0</v>
      </c>
      <c r="AC3" s="16">
        <v>683</v>
      </c>
      <c r="AD3" s="16">
        <v>1002</v>
      </c>
      <c r="AE3" s="16">
        <v>865</v>
      </c>
      <c r="AF3" s="16">
        <v>846</v>
      </c>
      <c r="AG3" s="16">
        <v>637</v>
      </c>
      <c r="AH3" s="17">
        <f t="shared" si="0"/>
        <v>20282</v>
      </c>
    </row>
    <row r="4" spans="1:34" x14ac:dyDescent="0.3">
      <c r="A4" s="15" t="s">
        <v>199</v>
      </c>
      <c r="B4" s="15" t="s">
        <v>200</v>
      </c>
      <c r="C4" s="16">
        <v>521</v>
      </c>
      <c r="D4" s="16">
        <v>759</v>
      </c>
      <c r="E4" s="16">
        <v>673</v>
      </c>
      <c r="F4" s="16">
        <v>503</v>
      </c>
      <c r="G4" s="16">
        <v>541</v>
      </c>
      <c r="H4" s="16">
        <v>0</v>
      </c>
      <c r="I4" s="16">
        <v>702</v>
      </c>
      <c r="J4" s="16">
        <v>0</v>
      </c>
      <c r="K4" s="16">
        <v>444</v>
      </c>
      <c r="L4" s="16">
        <v>721</v>
      </c>
      <c r="M4" s="16">
        <v>715</v>
      </c>
      <c r="N4" s="16">
        <v>569</v>
      </c>
      <c r="O4" s="16">
        <v>0</v>
      </c>
      <c r="P4" s="16">
        <v>447</v>
      </c>
      <c r="Q4" s="16">
        <v>0</v>
      </c>
      <c r="R4" s="16">
        <v>755</v>
      </c>
      <c r="S4" s="16">
        <v>629</v>
      </c>
      <c r="T4" s="16">
        <v>684</v>
      </c>
      <c r="U4" s="16">
        <v>500</v>
      </c>
      <c r="V4" s="16">
        <v>604</v>
      </c>
      <c r="W4" s="16">
        <v>744</v>
      </c>
      <c r="X4" s="16">
        <v>656</v>
      </c>
      <c r="Y4" s="16">
        <v>475</v>
      </c>
      <c r="Z4" s="16">
        <v>0</v>
      </c>
      <c r="AA4" s="16">
        <v>474</v>
      </c>
      <c r="AB4" s="16">
        <v>694</v>
      </c>
      <c r="AC4" s="16">
        <v>619</v>
      </c>
      <c r="AD4" s="16">
        <v>694</v>
      </c>
      <c r="AE4" s="16">
        <v>579</v>
      </c>
      <c r="AF4" s="16">
        <v>635</v>
      </c>
      <c r="AG4" s="16">
        <v>555</v>
      </c>
      <c r="AH4" s="17">
        <f t="shared" si="0"/>
        <v>15892</v>
      </c>
    </row>
    <row r="5" spans="1:34" x14ac:dyDescent="0.3">
      <c r="A5" s="15" t="s">
        <v>202</v>
      </c>
      <c r="B5" s="15" t="s">
        <v>203</v>
      </c>
      <c r="C5" s="16">
        <v>329</v>
      </c>
      <c r="D5" s="16">
        <v>346</v>
      </c>
      <c r="E5" s="16">
        <v>0</v>
      </c>
      <c r="F5" s="16">
        <v>487</v>
      </c>
      <c r="G5" s="16">
        <v>0</v>
      </c>
      <c r="H5" s="16">
        <v>531</v>
      </c>
      <c r="I5" s="16">
        <v>431</v>
      </c>
      <c r="J5" s="16">
        <v>334</v>
      </c>
      <c r="K5" s="16">
        <v>420</v>
      </c>
      <c r="L5" s="16">
        <v>587</v>
      </c>
      <c r="M5" s="16">
        <v>460</v>
      </c>
      <c r="N5" s="16">
        <v>580</v>
      </c>
      <c r="O5" s="16">
        <v>550</v>
      </c>
      <c r="P5" s="16">
        <v>320</v>
      </c>
      <c r="Q5" s="16">
        <v>512</v>
      </c>
      <c r="R5" s="16">
        <v>0</v>
      </c>
      <c r="S5" s="16">
        <v>0</v>
      </c>
      <c r="T5" s="16">
        <v>501</v>
      </c>
      <c r="U5" s="16">
        <v>462</v>
      </c>
      <c r="V5" s="16">
        <v>389</v>
      </c>
      <c r="W5" s="16">
        <v>490</v>
      </c>
      <c r="X5" s="16">
        <v>347</v>
      </c>
      <c r="Y5" s="16">
        <v>434</v>
      </c>
      <c r="Z5" s="16">
        <v>439</v>
      </c>
      <c r="AA5" s="16">
        <v>0</v>
      </c>
      <c r="AB5" s="16">
        <v>575</v>
      </c>
      <c r="AC5" s="16">
        <v>554</v>
      </c>
      <c r="AD5" s="16">
        <v>388</v>
      </c>
      <c r="AE5" s="16">
        <v>452</v>
      </c>
      <c r="AF5" s="16">
        <v>365</v>
      </c>
      <c r="AG5" s="16">
        <v>564</v>
      </c>
      <c r="AH5" s="17">
        <f t="shared" si="0"/>
        <v>11847</v>
      </c>
    </row>
    <row r="6" spans="1:34" x14ac:dyDescent="0.3">
      <c r="A6" s="15" t="s">
        <v>205</v>
      </c>
      <c r="B6" s="15" t="s">
        <v>206</v>
      </c>
      <c r="C6" s="16">
        <v>438</v>
      </c>
      <c r="D6" s="16">
        <v>326</v>
      </c>
      <c r="E6" s="16">
        <v>476</v>
      </c>
      <c r="F6" s="16">
        <v>421</v>
      </c>
      <c r="G6" s="16">
        <v>480</v>
      </c>
      <c r="H6" s="16">
        <v>419</v>
      </c>
      <c r="I6" s="16">
        <v>288</v>
      </c>
      <c r="J6" s="16">
        <v>368</v>
      </c>
      <c r="K6" s="16">
        <v>293</v>
      </c>
      <c r="L6" s="16">
        <v>0</v>
      </c>
      <c r="M6" s="16">
        <v>517</v>
      </c>
      <c r="N6" s="16">
        <v>505</v>
      </c>
      <c r="O6" s="16">
        <v>493</v>
      </c>
      <c r="P6" s="16">
        <v>364</v>
      </c>
      <c r="Q6" s="16">
        <v>302</v>
      </c>
      <c r="R6" s="16">
        <v>504</v>
      </c>
      <c r="S6" s="16">
        <v>0</v>
      </c>
      <c r="T6" s="16">
        <v>521</v>
      </c>
      <c r="U6" s="16">
        <v>309</v>
      </c>
      <c r="V6" s="16">
        <v>408</v>
      </c>
      <c r="W6" s="16">
        <v>0</v>
      </c>
      <c r="X6" s="16">
        <v>305</v>
      </c>
      <c r="Y6" s="16">
        <v>475</v>
      </c>
      <c r="Z6" s="16">
        <v>477</v>
      </c>
      <c r="AA6" s="16">
        <v>319</v>
      </c>
      <c r="AB6" s="16">
        <v>405</v>
      </c>
      <c r="AC6" s="16">
        <v>0</v>
      </c>
      <c r="AD6" s="16">
        <v>0</v>
      </c>
      <c r="AE6" s="16">
        <v>423</v>
      </c>
      <c r="AF6" s="16">
        <v>353</v>
      </c>
      <c r="AG6" s="16">
        <v>503</v>
      </c>
      <c r="AH6" s="17">
        <f t="shared" si="0"/>
        <v>10692</v>
      </c>
    </row>
    <row r="7" spans="1:34" x14ac:dyDescent="0.3">
      <c r="A7" s="15" t="s">
        <v>208</v>
      </c>
      <c r="B7" s="15" t="s">
        <v>209</v>
      </c>
      <c r="C7" s="16">
        <v>276</v>
      </c>
      <c r="D7" s="16">
        <v>266</v>
      </c>
      <c r="E7" s="16">
        <v>270</v>
      </c>
      <c r="F7" s="16">
        <v>225</v>
      </c>
      <c r="G7" s="16">
        <v>264</v>
      </c>
      <c r="H7" s="16">
        <v>221</v>
      </c>
      <c r="I7" s="16">
        <v>0</v>
      </c>
      <c r="J7" s="16">
        <v>297</v>
      </c>
      <c r="K7" s="16">
        <v>232</v>
      </c>
      <c r="L7" s="16">
        <v>203</v>
      </c>
      <c r="M7" s="16">
        <v>177</v>
      </c>
      <c r="N7" s="16">
        <v>170</v>
      </c>
      <c r="O7" s="16">
        <v>247</v>
      </c>
      <c r="P7" s="16">
        <v>0</v>
      </c>
      <c r="Q7" s="16">
        <v>252</v>
      </c>
      <c r="R7" s="16">
        <v>168</v>
      </c>
      <c r="S7" s="16">
        <v>269</v>
      </c>
      <c r="T7" s="16">
        <v>0</v>
      </c>
      <c r="U7" s="16">
        <v>176</v>
      </c>
      <c r="V7" s="16">
        <v>177</v>
      </c>
      <c r="W7" s="16">
        <v>172</v>
      </c>
      <c r="X7" s="16">
        <v>215</v>
      </c>
      <c r="Y7" s="16">
        <v>241</v>
      </c>
      <c r="Z7" s="16">
        <v>207</v>
      </c>
      <c r="AA7" s="16">
        <v>237</v>
      </c>
      <c r="AB7" s="16">
        <v>245</v>
      </c>
      <c r="AC7" s="16">
        <v>271</v>
      </c>
      <c r="AD7" s="16">
        <v>294</v>
      </c>
      <c r="AE7" s="16">
        <v>250</v>
      </c>
      <c r="AF7" s="16">
        <v>0</v>
      </c>
      <c r="AG7" s="16">
        <v>0</v>
      </c>
      <c r="AH7" s="17">
        <f t="shared" si="0"/>
        <v>6022</v>
      </c>
    </row>
    <row r="8" spans="1:34" x14ac:dyDescent="0.3">
      <c r="A8" s="15" t="s">
        <v>211</v>
      </c>
      <c r="B8" s="15" t="s">
        <v>212</v>
      </c>
      <c r="C8" s="16">
        <v>166</v>
      </c>
      <c r="D8" s="16">
        <v>241</v>
      </c>
      <c r="E8" s="16">
        <v>200</v>
      </c>
      <c r="F8" s="16">
        <v>208</v>
      </c>
      <c r="G8" s="16">
        <v>268</v>
      </c>
      <c r="H8" s="16">
        <v>161</v>
      </c>
      <c r="I8" s="16">
        <v>0</v>
      </c>
      <c r="J8" s="16">
        <v>0</v>
      </c>
      <c r="K8" s="16">
        <v>240</v>
      </c>
      <c r="L8" s="16">
        <v>239</v>
      </c>
      <c r="M8" s="16">
        <v>162</v>
      </c>
      <c r="N8" s="16">
        <v>250</v>
      </c>
      <c r="O8" s="16">
        <v>259</v>
      </c>
      <c r="P8" s="16">
        <v>0</v>
      </c>
      <c r="Q8" s="16">
        <v>168</v>
      </c>
      <c r="R8" s="16">
        <v>0</v>
      </c>
      <c r="S8" s="16">
        <v>179</v>
      </c>
      <c r="T8" s="16">
        <v>224</v>
      </c>
      <c r="U8" s="16">
        <v>172</v>
      </c>
      <c r="V8" s="16">
        <v>178</v>
      </c>
      <c r="W8" s="16">
        <v>215</v>
      </c>
      <c r="X8" s="16">
        <v>269</v>
      </c>
      <c r="Y8" s="16">
        <v>164</v>
      </c>
      <c r="Z8" s="16">
        <v>260</v>
      </c>
      <c r="AA8" s="16">
        <v>267</v>
      </c>
      <c r="AB8" s="16">
        <v>0</v>
      </c>
      <c r="AC8" s="16">
        <v>167</v>
      </c>
      <c r="AD8" s="16">
        <v>240</v>
      </c>
      <c r="AE8" s="16">
        <v>225</v>
      </c>
      <c r="AF8" s="16">
        <v>156</v>
      </c>
      <c r="AG8" s="16">
        <v>166</v>
      </c>
      <c r="AH8" s="17">
        <f t="shared" si="0"/>
        <v>5444</v>
      </c>
    </row>
    <row r="9" spans="1:34" x14ac:dyDescent="0.3">
      <c r="A9" s="15" t="s">
        <v>214</v>
      </c>
      <c r="B9" s="15" t="s">
        <v>215</v>
      </c>
      <c r="C9" s="16">
        <v>167</v>
      </c>
      <c r="D9" s="16">
        <v>139</v>
      </c>
      <c r="E9" s="16">
        <v>158</v>
      </c>
      <c r="F9" s="16">
        <v>124</v>
      </c>
      <c r="G9" s="16">
        <v>156</v>
      </c>
      <c r="H9" s="16">
        <v>0</v>
      </c>
      <c r="I9" s="16">
        <v>217</v>
      </c>
      <c r="J9" s="16">
        <v>0</v>
      </c>
      <c r="K9" s="16">
        <v>145</v>
      </c>
      <c r="L9" s="16">
        <v>197</v>
      </c>
      <c r="M9" s="16">
        <v>164</v>
      </c>
      <c r="N9" s="16">
        <v>160</v>
      </c>
      <c r="O9" s="16">
        <v>214</v>
      </c>
      <c r="P9" s="16">
        <v>0</v>
      </c>
      <c r="Q9" s="16">
        <v>218</v>
      </c>
      <c r="R9" s="16">
        <v>174</v>
      </c>
      <c r="S9" s="16">
        <v>190</v>
      </c>
      <c r="T9" s="16">
        <v>133</v>
      </c>
      <c r="U9" s="16">
        <v>148</v>
      </c>
      <c r="V9" s="16">
        <v>215</v>
      </c>
      <c r="W9" s="16">
        <v>176</v>
      </c>
      <c r="X9" s="16">
        <v>172</v>
      </c>
      <c r="Y9" s="16">
        <v>193</v>
      </c>
      <c r="Z9" s="16">
        <v>124</v>
      </c>
      <c r="AA9" s="16">
        <v>0</v>
      </c>
      <c r="AB9" s="16">
        <v>177</v>
      </c>
      <c r="AC9" s="16">
        <v>168</v>
      </c>
      <c r="AD9" s="16">
        <v>0</v>
      </c>
      <c r="AE9" s="16">
        <v>204</v>
      </c>
      <c r="AF9" s="16">
        <v>134</v>
      </c>
      <c r="AG9" s="16">
        <v>215</v>
      </c>
      <c r="AH9" s="17">
        <f t="shared" si="0"/>
        <v>4482</v>
      </c>
    </row>
    <row r="10" spans="1:34" x14ac:dyDescent="0.3">
      <c r="A10" s="15" t="s">
        <v>217</v>
      </c>
      <c r="B10" s="15" t="s">
        <v>218</v>
      </c>
      <c r="C10" s="16">
        <v>203</v>
      </c>
      <c r="D10" s="16">
        <v>157</v>
      </c>
      <c r="E10" s="16">
        <v>0</v>
      </c>
      <c r="F10" s="16">
        <v>211</v>
      </c>
      <c r="G10" s="16">
        <v>174</v>
      </c>
      <c r="H10" s="16">
        <v>0</v>
      </c>
      <c r="I10" s="16">
        <v>175</v>
      </c>
      <c r="J10" s="16">
        <v>121</v>
      </c>
      <c r="K10" s="16">
        <v>125</v>
      </c>
      <c r="L10" s="16">
        <v>183</v>
      </c>
      <c r="M10" s="16">
        <v>174</v>
      </c>
      <c r="N10" s="16">
        <v>149</v>
      </c>
      <c r="O10" s="16">
        <v>143</v>
      </c>
      <c r="P10" s="16">
        <v>184</v>
      </c>
      <c r="Q10" s="16">
        <v>148</v>
      </c>
      <c r="R10" s="16">
        <v>143</v>
      </c>
      <c r="S10" s="16">
        <v>130</v>
      </c>
      <c r="T10" s="16">
        <v>182</v>
      </c>
      <c r="U10" s="16">
        <v>163</v>
      </c>
      <c r="V10" s="16">
        <v>0</v>
      </c>
      <c r="W10" s="16">
        <v>210</v>
      </c>
      <c r="X10" s="16">
        <v>0</v>
      </c>
      <c r="Y10" s="16">
        <v>211</v>
      </c>
      <c r="Z10" s="16">
        <v>118</v>
      </c>
      <c r="AA10" s="16">
        <v>179</v>
      </c>
      <c r="AB10" s="16">
        <v>173</v>
      </c>
      <c r="AC10" s="16">
        <v>127</v>
      </c>
      <c r="AD10" s="16">
        <v>0</v>
      </c>
      <c r="AE10" s="16">
        <v>171</v>
      </c>
      <c r="AF10" s="16">
        <v>168</v>
      </c>
      <c r="AG10" s="16">
        <v>130</v>
      </c>
      <c r="AH10" s="17">
        <f t="shared" si="0"/>
        <v>4252</v>
      </c>
    </row>
    <row r="11" spans="1:34" x14ac:dyDescent="0.3">
      <c r="A11" s="15" t="s">
        <v>220</v>
      </c>
      <c r="B11" s="15" t="s">
        <v>221</v>
      </c>
      <c r="C11" s="16">
        <v>123</v>
      </c>
      <c r="D11" s="16">
        <v>186</v>
      </c>
      <c r="E11" s="16">
        <v>0</v>
      </c>
      <c r="F11" s="16">
        <v>174</v>
      </c>
      <c r="G11" s="16">
        <v>165</v>
      </c>
      <c r="H11" s="16">
        <v>200</v>
      </c>
      <c r="I11" s="16">
        <v>169</v>
      </c>
      <c r="J11" s="16">
        <v>0</v>
      </c>
      <c r="K11" s="16">
        <v>109</v>
      </c>
      <c r="L11" s="16">
        <v>0</v>
      </c>
      <c r="M11" s="16">
        <v>184</v>
      </c>
      <c r="N11" s="16">
        <v>0</v>
      </c>
      <c r="O11" s="16">
        <v>136</v>
      </c>
      <c r="P11" s="16">
        <v>170</v>
      </c>
      <c r="Q11" s="16">
        <v>196</v>
      </c>
      <c r="R11" s="16">
        <v>121</v>
      </c>
      <c r="S11" s="16">
        <v>119</v>
      </c>
      <c r="T11" s="16">
        <v>118</v>
      </c>
      <c r="U11" s="16">
        <v>160</v>
      </c>
      <c r="V11" s="16">
        <v>134</v>
      </c>
      <c r="W11" s="16">
        <v>165</v>
      </c>
      <c r="X11" s="16">
        <v>175</v>
      </c>
      <c r="Y11" s="16">
        <v>127</v>
      </c>
      <c r="Z11" s="16">
        <v>167</v>
      </c>
      <c r="AA11" s="16">
        <v>133</v>
      </c>
      <c r="AB11" s="16">
        <v>154</v>
      </c>
      <c r="AC11" s="16">
        <v>193</v>
      </c>
      <c r="AD11" s="16">
        <v>187</v>
      </c>
      <c r="AE11" s="16">
        <v>0</v>
      </c>
      <c r="AF11" s="16">
        <v>117</v>
      </c>
      <c r="AG11" s="16">
        <v>148</v>
      </c>
      <c r="AH11" s="17">
        <f t="shared" si="0"/>
        <v>4030</v>
      </c>
    </row>
    <row r="12" spans="1:34" x14ac:dyDescent="0.3">
      <c r="A12" s="15" t="s">
        <v>223</v>
      </c>
      <c r="B12" s="15" t="s">
        <v>224</v>
      </c>
      <c r="C12" s="16">
        <v>0</v>
      </c>
      <c r="D12" s="16">
        <v>0</v>
      </c>
      <c r="E12" s="16">
        <v>112</v>
      </c>
      <c r="F12" s="16">
        <v>186</v>
      </c>
      <c r="G12" s="16">
        <v>115</v>
      </c>
      <c r="H12" s="16">
        <v>139</v>
      </c>
      <c r="I12" s="16">
        <v>162</v>
      </c>
      <c r="J12" s="16">
        <v>149</v>
      </c>
      <c r="K12" s="16">
        <v>0</v>
      </c>
      <c r="L12" s="16">
        <v>111</v>
      </c>
      <c r="M12" s="16">
        <v>0</v>
      </c>
      <c r="N12" s="16">
        <v>183</v>
      </c>
      <c r="O12" s="16">
        <v>161</v>
      </c>
      <c r="P12" s="16">
        <v>114</v>
      </c>
      <c r="Q12" s="16">
        <v>104</v>
      </c>
      <c r="R12" s="16">
        <v>133</v>
      </c>
      <c r="S12" s="16">
        <v>149</v>
      </c>
      <c r="T12" s="16">
        <v>138</v>
      </c>
      <c r="U12" s="16">
        <v>104</v>
      </c>
      <c r="V12" s="16">
        <v>132</v>
      </c>
      <c r="W12" s="16">
        <v>182</v>
      </c>
      <c r="X12" s="16">
        <v>185</v>
      </c>
      <c r="Y12" s="16">
        <v>104</v>
      </c>
      <c r="Z12" s="16">
        <v>132</v>
      </c>
      <c r="AA12" s="16">
        <v>0</v>
      </c>
      <c r="AB12" s="16">
        <v>160</v>
      </c>
      <c r="AC12" s="16">
        <v>159</v>
      </c>
      <c r="AD12" s="16">
        <v>131</v>
      </c>
      <c r="AE12" s="16">
        <v>149</v>
      </c>
      <c r="AF12" s="16">
        <v>176</v>
      </c>
      <c r="AG12" s="16">
        <v>185</v>
      </c>
      <c r="AH12" s="17">
        <f t="shared" si="0"/>
        <v>3755</v>
      </c>
    </row>
    <row r="13" spans="1:34" x14ac:dyDescent="0.3">
      <c r="A13" s="15" t="s">
        <v>226</v>
      </c>
      <c r="B13" s="15" t="s">
        <v>227</v>
      </c>
      <c r="C13" s="16">
        <v>95</v>
      </c>
      <c r="D13" s="16">
        <v>140</v>
      </c>
      <c r="E13" s="16">
        <v>96</v>
      </c>
      <c r="F13" s="16">
        <v>113</v>
      </c>
      <c r="G13" s="16">
        <v>0</v>
      </c>
      <c r="H13" s="16">
        <v>96</v>
      </c>
      <c r="I13" s="16">
        <v>149</v>
      </c>
      <c r="J13" s="16">
        <v>0</v>
      </c>
      <c r="K13" s="16">
        <v>139</v>
      </c>
      <c r="L13" s="16">
        <v>112</v>
      </c>
      <c r="M13" s="16">
        <v>131</v>
      </c>
      <c r="N13" s="16">
        <v>136</v>
      </c>
      <c r="O13" s="16">
        <v>101</v>
      </c>
      <c r="P13" s="16">
        <v>94</v>
      </c>
      <c r="Q13" s="16">
        <v>133</v>
      </c>
      <c r="R13" s="16">
        <v>110</v>
      </c>
      <c r="S13" s="16">
        <v>86</v>
      </c>
      <c r="T13" s="16">
        <v>117</v>
      </c>
      <c r="U13" s="16">
        <v>97</v>
      </c>
      <c r="V13" s="16">
        <v>149</v>
      </c>
      <c r="W13" s="16">
        <v>108</v>
      </c>
      <c r="X13" s="16">
        <v>142</v>
      </c>
      <c r="Y13" s="16">
        <v>145</v>
      </c>
      <c r="Z13" s="16">
        <v>0</v>
      </c>
      <c r="AA13" s="16">
        <v>99</v>
      </c>
      <c r="AB13" s="16">
        <v>130</v>
      </c>
      <c r="AC13" s="16">
        <v>112</v>
      </c>
      <c r="AD13" s="16">
        <v>0</v>
      </c>
      <c r="AE13" s="16">
        <v>103</v>
      </c>
      <c r="AF13" s="16">
        <v>0</v>
      </c>
      <c r="AG13" s="16">
        <v>88</v>
      </c>
      <c r="AH13" s="17">
        <f t="shared" si="0"/>
        <v>3021</v>
      </c>
    </row>
    <row r="14" spans="1:34" x14ac:dyDescent="0.3">
      <c r="A14" s="15" t="s">
        <v>229</v>
      </c>
      <c r="B14" s="15" t="s">
        <v>230</v>
      </c>
      <c r="C14" s="16">
        <v>84</v>
      </c>
      <c r="D14" s="16">
        <v>115</v>
      </c>
      <c r="E14" s="16">
        <v>91</v>
      </c>
      <c r="F14" s="16">
        <v>113</v>
      </c>
      <c r="G14" s="16">
        <v>69</v>
      </c>
      <c r="H14" s="16">
        <v>115</v>
      </c>
      <c r="I14" s="16">
        <v>72</v>
      </c>
      <c r="J14" s="16">
        <v>114</v>
      </c>
      <c r="K14" s="16">
        <v>0</v>
      </c>
      <c r="L14" s="16">
        <v>77</v>
      </c>
      <c r="M14" s="16">
        <v>68</v>
      </c>
      <c r="N14" s="16">
        <v>0</v>
      </c>
      <c r="O14" s="16">
        <v>86</v>
      </c>
      <c r="P14" s="16">
        <v>102</v>
      </c>
      <c r="Q14" s="16">
        <v>79</v>
      </c>
      <c r="R14" s="16">
        <v>95</v>
      </c>
      <c r="S14" s="16">
        <v>0</v>
      </c>
      <c r="T14" s="16">
        <v>90</v>
      </c>
      <c r="U14" s="16">
        <v>83</v>
      </c>
      <c r="V14" s="16">
        <v>94</v>
      </c>
      <c r="W14" s="16">
        <v>0</v>
      </c>
      <c r="X14" s="16">
        <v>76</v>
      </c>
      <c r="Y14" s="16">
        <v>101</v>
      </c>
      <c r="Z14" s="16">
        <v>63</v>
      </c>
      <c r="AA14" s="16">
        <v>0</v>
      </c>
      <c r="AB14" s="16">
        <v>112</v>
      </c>
      <c r="AC14" s="16">
        <v>91</v>
      </c>
      <c r="AD14" s="16">
        <v>101</v>
      </c>
      <c r="AE14" s="16">
        <v>102</v>
      </c>
      <c r="AF14" s="16">
        <v>99</v>
      </c>
      <c r="AG14" s="16">
        <v>82</v>
      </c>
      <c r="AH14" s="17">
        <f t="shared" si="0"/>
        <v>2374</v>
      </c>
    </row>
    <row r="15" spans="1:34" x14ac:dyDescent="0.3">
      <c r="A15" s="15" t="s">
        <v>232</v>
      </c>
      <c r="B15" s="15" t="s">
        <v>233</v>
      </c>
      <c r="C15" s="16">
        <v>73</v>
      </c>
      <c r="D15" s="16">
        <v>75</v>
      </c>
      <c r="E15" s="16">
        <v>0</v>
      </c>
      <c r="F15" s="16">
        <v>53</v>
      </c>
      <c r="G15" s="16">
        <v>84</v>
      </c>
      <c r="H15" s="16">
        <v>68</v>
      </c>
      <c r="I15" s="16">
        <v>75</v>
      </c>
      <c r="J15" s="16">
        <v>61</v>
      </c>
      <c r="K15" s="16">
        <v>76</v>
      </c>
      <c r="L15" s="16">
        <v>70</v>
      </c>
      <c r="M15" s="16">
        <v>0</v>
      </c>
      <c r="N15" s="16">
        <v>56</v>
      </c>
      <c r="O15" s="16">
        <v>75</v>
      </c>
      <c r="P15" s="16">
        <v>63</v>
      </c>
      <c r="Q15" s="16">
        <v>78</v>
      </c>
      <c r="R15" s="16">
        <v>55</v>
      </c>
      <c r="S15" s="16">
        <v>71</v>
      </c>
      <c r="T15" s="16">
        <v>64</v>
      </c>
      <c r="U15" s="16">
        <v>82</v>
      </c>
      <c r="V15" s="16">
        <v>60</v>
      </c>
      <c r="W15" s="16">
        <v>56</v>
      </c>
      <c r="X15" s="16">
        <v>0</v>
      </c>
      <c r="Y15" s="16">
        <v>80</v>
      </c>
      <c r="Z15" s="16">
        <v>72</v>
      </c>
      <c r="AA15" s="16">
        <v>61</v>
      </c>
      <c r="AB15" s="16">
        <v>66</v>
      </c>
      <c r="AC15" s="16">
        <v>75</v>
      </c>
      <c r="AD15" s="16">
        <v>69</v>
      </c>
      <c r="AE15" s="16">
        <v>80</v>
      </c>
      <c r="AF15" s="16">
        <v>0</v>
      </c>
      <c r="AG15" s="16">
        <v>0</v>
      </c>
      <c r="AH15" s="17">
        <f t="shared" si="0"/>
        <v>1798</v>
      </c>
    </row>
    <row r="16" spans="1:34" x14ac:dyDescent="0.3">
      <c r="A16" s="15" t="s">
        <v>235</v>
      </c>
      <c r="B16" s="15" t="s">
        <v>236</v>
      </c>
      <c r="C16" s="16">
        <v>53</v>
      </c>
      <c r="D16" s="16">
        <v>72</v>
      </c>
      <c r="E16" s="16">
        <v>76</v>
      </c>
      <c r="F16" s="16">
        <v>64</v>
      </c>
      <c r="G16" s="16">
        <v>84</v>
      </c>
      <c r="H16" s="16">
        <v>0</v>
      </c>
      <c r="I16" s="16">
        <v>82</v>
      </c>
      <c r="J16" s="16">
        <v>78</v>
      </c>
      <c r="K16" s="16">
        <v>59</v>
      </c>
      <c r="L16" s="16">
        <v>58</v>
      </c>
      <c r="M16" s="16">
        <v>51</v>
      </c>
      <c r="N16" s="16">
        <v>60</v>
      </c>
      <c r="O16" s="16">
        <v>70</v>
      </c>
      <c r="P16" s="16">
        <v>86</v>
      </c>
      <c r="Q16" s="16">
        <v>53</v>
      </c>
      <c r="R16" s="16">
        <v>67</v>
      </c>
      <c r="S16" s="16">
        <v>76</v>
      </c>
      <c r="T16" s="16">
        <v>58</v>
      </c>
      <c r="U16" s="16">
        <v>79</v>
      </c>
      <c r="V16" s="16">
        <v>71</v>
      </c>
      <c r="W16" s="16">
        <v>60</v>
      </c>
      <c r="X16" s="16">
        <v>0</v>
      </c>
      <c r="Y16" s="16">
        <v>77</v>
      </c>
      <c r="Z16" s="16">
        <v>0</v>
      </c>
      <c r="AA16" s="16">
        <v>50</v>
      </c>
      <c r="AB16" s="16">
        <v>0</v>
      </c>
      <c r="AC16" s="16">
        <v>82</v>
      </c>
      <c r="AD16" s="16">
        <v>82</v>
      </c>
      <c r="AE16" s="16">
        <v>54</v>
      </c>
      <c r="AF16" s="16">
        <v>68</v>
      </c>
      <c r="AG16" s="16">
        <v>0</v>
      </c>
      <c r="AH16" s="17">
        <f t="shared" si="0"/>
        <v>1770</v>
      </c>
    </row>
    <row r="17" spans="1:34" x14ac:dyDescent="0.3">
      <c r="A17" s="15" t="s">
        <v>238</v>
      </c>
      <c r="B17" s="15" t="s">
        <v>239</v>
      </c>
      <c r="C17" s="16">
        <v>60</v>
      </c>
      <c r="D17" s="16">
        <v>63</v>
      </c>
      <c r="E17" s="16">
        <v>77</v>
      </c>
      <c r="F17" s="16">
        <v>47</v>
      </c>
      <c r="G17" s="16">
        <v>48</v>
      </c>
      <c r="H17" s="16">
        <v>0</v>
      </c>
      <c r="I17" s="16">
        <v>60</v>
      </c>
      <c r="J17" s="16">
        <v>62</v>
      </c>
      <c r="K17" s="16">
        <v>63</v>
      </c>
      <c r="L17" s="16">
        <v>55</v>
      </c>
      <c r="M17" s="16">
        <v>71</v>
      </c>
      <c r="N17" s="16">
        <v>59</v>
      </c>
      <c r="O17" s="16">
        <v>73</v>
      </c>
      <c r="P17" s="16">
        <v>76</v>
      </c>
      <c r="Q17" s="16">
        <v>59</v>
      </c>
      <c r="R17" s="16">
        <v>76</v>
      </c>
      <c r="S17" s="16">
        <v>0</v>
      </c>
      <c r="T17" s="16">
        <v>59</v>
      </c>
      <c r="U17" s="16">
        <v>49</v>
      </c>
      <c r="V17" s="16">
        <v>74</v>
      </c>
      <c r="W17" s="16">
        <v>59</v>
      </c>
      <c r="X17" s="16">
        <v>70</v>
      </c>
      <c r="Y17" s="16">
        <v>0</v>
      </c>
      <c r="Z17" s="16">
        <v>74</v>
      </c>
      <c r="AA17" s="16">
        <v>53</v>
      </c>
      <c r="AB17" s="16">
        <v>0</v>
      </c>
      <c r="AC17" s="16">
        <v>71</v>
      </c>
      <c r="AD17" s="16">
        <v>61</v>
      </c>
      <c r="AE17" s="16">
        <v>52</v>
      </c>
      <c r="AF17" s="16">
        <v>59</v>
      </c>
      <c r="AG17" s="16">
        <v>0</v>
      </c>
      <c r="AH17" s="17">
        <f t="shared" si="0"/>
        <v>1630</v>
      </c>
    </row>
    <row r="18" spans="1:34" x14ac:dyDescent="0.3">
      <c r="A18" s="15" t="s">
        <v>241</v>
      </c>
      <c r="B18" s="15" t="s">
        <v>242</v>
      </c>
      <c r="C18" s="16">
        <v>52</v>
      </c>
      <c r="D18" s="16">
        <v>60</v>
      </c>
      <c r="E18" s="16">
        <v>46</v>
      </c>
      <c r="F18" s="16">
        <v>49</v>
      </c>
      <c r="G18" s="16">
        <v>65</v>
      </c>
      <c r="H18" s="16">
        <v>66</v>
      </c>
      <c r="I18" s="16">
        <v>43</v>
      </c>
      <c r="J18" s="16">
        <v>0</v>
      </c>
      <c r="K18" s="16">
        <v>0</v>
      </c>
      <c r="L18" s="16">
        <v>0</v>
      </c>
      <c r="M18" s="16">
        <v>0</v>
      </c>
      <c r="N18" s="16">
        <v>55</v>
      </c>
      <c r="O18" s="16">
        <v>60</v>
      </c>
      <c r="P18" s="16">
        <v>56</v>
      </c>
      <c r="Q18" s="16">
        <v>48</v>
      </c>
      <c r="R18" s="16">
        <v>56</v>
      </c>
      <c r="S18" s="16">
        <v>73</v>
      </c>
      <c r="T18" s="16">
        <v>61</v>
      </c>
      <c r="U18" s="16">
        <v>65</v>
      </c>
      <c r="V18" s="16">
        <v>71</v>
      </c>
      <c r="W18" s="16">
        <v>68</v>
      </c>
      <c r="X18" s="16">
        <v>54</v>
      </c>
      <c r="Y18" s="16">
        <v>0</v>
      </c>
      <c r="Z18" s="16">
        <v>41</v>
      </c>
      <c r="AA18" s="16">
        <v>53</v>
      </c>
      <c r="AB18" s="16">
        <v>67</v>
      </c>
      <c r="AC18" s="16">
        <v>71</v>
      </c>
      <c r="AD18" s="16">
        <v>74</v>
      </c>
      <c r="AE18" s="16">
        <v>56</v>
      </c>
      <c r="AF18" s="16">
        <v>67</v>
      </c>
      <c r="AG18" s="16">
        <v>60</v>
      </c>
      <c r="AH18" s="17">
        <f t="shared" si="0"/>
        <v>1537</v>
      </c>
    </row>
    <row r="19" spans="1:34" x14ac:dyDescent="0.3">
      <c r="A19" s="15" t="s">
        <v>244</v>
      </c>
      <c r="B19" s="15" t="s">
        <v>245</v>
      </c>
      <c r="C19" s="16">
        <v>500</v>
      </c>
      <c r="D19" s="16">
        <v>373</v>
      </c>
      <c r="E19" s="16">
        <v>469</v>
      </c>
      <c r="F19" s="16">
        <v>575</v>
      </c>
      <c r="G19" s="16">
        <v>490</v>
      </c>
      <c r="H19" s="16">
        <v>415</v>
      </c>
      <c r="I19" s="16">
        <v>509</v>
      </c>
      <c r="J19" s="16">
        <v>0</v>
      </c>
      <c r="K19" s="16">
        <v>0</v>
      </c>
      <c r="L19" s="16">
        <v>403</v>
      </c>
      <c r="M19" s="16">
        <v>558</v>
      </c>
      <c r="N19" s="16">
        <v>372</v>
      </c>
      <c r="O19" s="16">
        <v>487</v>
      </c>
      <c r="P19" s="16">
        <v>540</v>
      </c>
      <c r="Q19" s="16">
        <v>372</v>
      </c>
      <c r="R19" s="16">
        <v>0</v>
      </c>
      <c r="S19" s="16">
        <v>564</v>
      </c>
      <c r="T19" s="16">
        <v>406</v>
      </c>
      <c r="U19" s="16">
        <v>508</v>
      </c>
      <c r="V19" s="16">
        <v>0</v>
      </c>
      <c r="W19" s="16">
        <v>379</v>
      </c>
      <c r="X19" s="16">
        <v>482</v>
      </c>
      <c r="Y19" s="16">
        <v>430</v>
      </c>
      <c r="Z19" s="16">
        <v>466</v>
      </c>
      <c r="AA19" s="16">
        <v>601</v>
      </c>
      <c r="AB19" s="16">
        <v>482</v>
      </c>
      <c r="AC19" s="16">
        <v>598</v>
      </c>
      <c r="AD19" s="16">
        <v>623</v>
      </c>
      <c r="AE19" s="16">
        <v>0</v>
      </c>
      <c r="AF19" s="16">
        <v>442</v>
      </c>
      <c r="AG19" s="16">
        <v>389</v>
      </c>
      <c r="AH19" s="17">
        <f t="shared" si="0"/>
        <v>12433</v>
      </c>
    </row>
    <row r="20" spans="1:34" x14ac:dyDescent="0.3">
      <c r="A20" s="15" t="s">
        <v>247</v>
      </c>
      <c r="B20" s="15" t="s">
        <v>248</v>
      </c>
      <c r="C20" s="16">
        <v>0</v>
      </c>
      <c r="D20" s="16">
        <v>0</v>
      </c>
      <c r="E20" s="16">
        <v>406</v>
      </c>
      <c r="F20" s="16">
        <v>486</v>
      </c>
      <c r="G20" s="16">
        <v>521</v>
      </c>
      <c r="H20" s="16">
        <v>487</v>
      </c>
      <c r="I20" s="16">
        <v>514</v>
      </c>
      <c r="J20" s="16">
        <v>566</v>
      </c>
      <c r="K20" s="16">
        <v>366</v>
      </c>
      <c r="L20" s="16">
        <v>318</v>
      </c>
      <c r="M20" s="16">
        <v>353</v>
      </c>
      <c r="N20" s="16">
        <v>346</v>
      </c>
      <c r="O20" s="16">
        <v>491</v>
      </c>
      <c r="P20" s="16">
        <v>463</v>
      </c>
      <c r="Q20" s="16">
        <v>371</v>
      </c>
      <c r="R20" s="16">
        <v>499</v>
      </c>
      <c r="S20" s="16">
        <v>517</v>
      </c>
      <c r="T20" s="16">
        <v>0</v>
      </c>
      <c r="U20" s="16">
        <v>357</v>
      </c>
      <c r="V20" s="16">
        <v>475</v>
      </c>
      <c r="W20" s="16">
        <v>512</v>
      </c>
      <c r="X20" s="16">
        <v>343</v>
      </c>
      <c r="Y20" s="16">
        <v>531</v>
      </c>
      <c r="Z20" s="16">
        <v>0</v>
      </c>
      <c r="AA20" s="16">
        <v>570</v>
      </c>
      <c r="AB20" s="16">
        <v>341</v>
      </c>
      <c r="AC20" s="16">
        <v>319</v>
      </c>
      <c r="AD20" s="16">
        <v>396</v>
      </c>
      <c r="AE20" s="16">
        <v>493</v>
      </c>
      <c r="AF20" s="16">
        <v>569</v>
      </c>
      <c r="AG20" s="16">
        <v>0</v>
      </c>
      <c r="AH20" s="17">
        <f t="shared" si="0"/>
        <v>11610</v>
      </c>
    </row>
    <row r="21" spans="1:34" x14ac:dyDescent="0.3">
      <c r="A21" s="15" t="s">
        <v>250</v>
      </c>
      <c r="B21" s="15" t="s">
        <v>251</v>
      </c>
      <c r="C21" s="16">
        <v>290</v>
      </c>
      <c r="D21" s="16">
        <v>330</v>
      </c>
      <c r="E21" s="16">
        <v>0</v>
      </c>
      <c r="F21" s="16">
        <v>233</v>
      </c>
      <c r="G21" s="16">
        <v>307</v>
      </c>
      <c r="H21" s="16">
        <v>242</v>
      </c>
      <c r="I21" s="16">
        <v>0</v>
      </c>
      <c r="J21" s="16">
        <v>305</v>
      </c>
      <c r="K21" s="16">
        <v>325</v>
      </c>
      <c r="L21" s="16">
        <v>324</v>
      </c>
      <c r="M21" s="16">
        <v>286</v>
      </c>
      <c r="N21" s="16">
        <v>199</v>
      </c>
      <c r="O21" s="16">
        <v>0</v>
      </c>
      <c r="P21" s="16">
        <v>280</v>
      </c>
      <c r="Q21" s="16">
        <v>302</v>
      </c>
      <c r="R21" s="16">
        <v>204</v>
      </c>
      <c r="S21" s="16">
        <v>299</v>
      </c>
      <c r="T21" s="16">
        <v>195</v>
      </c>
      <c r="U21" s="16">
        <v>262</v>
      </c>
      <c r="V21" s="16">
        <v>273</v>
      </c>
      <c r="W21" s="16">
        <v>264</v>
      </c>
      <c r="X21" s="16">
        <v>252</v>
      </c>
      <c r="Y21" s="16">
        <v>0</v>
      </c>
      <c r="Z21" s="16">
        <v>340</v>
      </c>
      <c r="AA21" s="16">
        <v>268</v>
      </c>
      <c r="AB21" s="16">
        <v>218</v>
      </c>
      <c r="AC21" s="16">
        <v>222</v>
      </c>
      <c r="AD21" s="16">
        <v>279</v>
      </c>
      <c r="AE21" s="16">
        <v>300</v>
      </c>
      <c r="AF21" s="16">
        <v>294</v>
      </c>
      <c r="AG21" s="16">
        <v>0</v>
      </c>
      <c r="AH21" s="17">
        <f t="shared" si="0"/>
        <v>7093</v>
      </c>
    </row>
    <row r="22" spans="1:34" x14ac:dyDescent="0.3">
      <c r="A22" s="15" t="s">
        <v>253</v>
      </c>
      <c r="B22" s="15" t="s">
        <v>254</v>
      </c>
      <c r="C22" s="16">
        <v>191</v>
      </c>
      <c r="D22" s="16">
        <v>226</v>
      </c>
      <c r="E22" s="16">
        <v>171</v>
      </c>
      <c r="F22" s="16">
        <v>240</v>
      </c>
      <c r="G22" s="16">
        <v>238</v>
      </c>
      <c r="H22" s="16">
        <v>149</v>
      </c>
      <c r="I22" s="16">
        <v>244</v>
      </c>
      <c r="J22" s="16">
        <v>168</v>
      </c>
      <c r="K22" s="16">
        <v>194</v>
      </c>
      <c r="L22" s="16">
        <v>212</v>
      </c>
      <c r="M22" s="16">
        <v>184</v>
      </c>
      <c r="N22" s="16">
        <v>142</v>
      </c>
      <c r="O22" s="16">
        <v>240</v>
      </c>
      <c r="P22" s="16">
        <v>161</v>
      </c>
      <c r="Q22" s="16">
        <v>0</v>
      </c>
      <c r="R22" s="16">
        <v>0</v>
      </c>
      <c r="S22" s="16">
        <v>164</v>
      </c>
      <c r="T22" s="16">
        <v>0</v>
      </c>
      <c r="U22" s="16">
        <v>234</v>
      </c>
      <c r="V22" s="16">
        <v>180</v>
      </c>
      <c r="W22" s="16">
        <v>244</v>
      </c>
      <c r="X22" s="16">
        <v>222</v>
      </c>
      <c r="Y22" s="16">
        <v>172</v>
      </c>
      <c r="Z22" s="16">
        <v>140</v>
      </c>
      <c r="AA22" s="16">
        <v>0</v>
      </c>
      <c r="AB22" s="16">
        <v>252</v>
      </c>
      <c r="AC22" s="16">
        <v>149</v>
      </c>
      <c r="AD22" s="16">
        <v>225</v>
      </c>
      <c r="AE22" s="16">
        <v>197</v>
      </c>
      <c r="AF22" s="16">
        <v>0</v>
      </c>
      <c r="AG22" s="16">
        <v>229</v>
      </c>
      <c r="AH22" s="17">
        <f t="shared" si="0"/>
        <v>5168</v>
      </c>
    </row>
    <row r="23" spans="1:34" x14ac:dyDescent="0.3">
      <c r="A23" s="15" t="s">
        <v>256</v>
      </c>
      <c r="B23" s="15" t="s">
        <v>257</v>
      </c>
      <c r="C23" s="16">
        <v>65</v>
      </c>
      <c r="D23" s="16">
        <v>80</v>
      </c>
      <c r="E23" s="16">
        <v>86</v>
      </c>
      <c r="F23" s="16">
        <v>77</v>
      </c>
      <c r="G23" s="16">
        <v>100</v>
      </c>
      <c r="H23" s="16">
        <v>84</v>
      </c>
      <c r="I23" s="16">
        <v>94</v>
      </c>
      <c r="J23" s="16">
        <v>83</v>
      </c>
      <c r="K23" s="16">
        <v>118</v>
      </c>
      <c r="L23" s="16">
        <v>94</v>
      </c>
      <c r="M23" s="16">
        <v>83</v>
      </c>
      <c r="N23" s="16">
        <v>89</v>
      </c>
      <c r="O23" s="16">
        <v>81</v>
      </c>
      <c r="P23" s="16">
        <v>76</v>
      </c>
      <c r="Q23" s="16">
        <v>0</v>
      </c>
      <c r="R23" s="16">
        <v>0</v>
      </c>
      <c r="S23" s="16">
        <v>103</v>
      </c>
      <c r="T23" s="16">
        <v>81</v>
      </c>
      <c r="U23" s="16">
        <v>104</v>
      </c>
      <c r="V23" s="16">
        <v>116</v>
      </c>
      <c r="W23" s="16">
        <v>0</v>
      </c>
      <c r="X23" s="16">
        <v>102</v>
      </c>
      <c r="Y23" s="16">
        <v>0</v>
      </c>
      <c r="Z23" s="16">
        <v>74</v>
      </c>
      <c r="AA23" s="16">
        <v>104</v>
      </c>
      <c r="AB23" s="16">
        <v>0</v>
      </c>
      <c r="AC23" s="16">
        <v>79</v>
      </c>
      <c r="AD23" s="16">
        <v>96</v>
      </c>
      <c r="AE23" s="16">
        <v>105</v>
      </c>
      <c r="AF23" s="16">
        <v>97</v>
      </c>
      <c r="AG23" s="16">
        <v>117</v>
      </c>
      <c r="AH23" s="17">
        <f t="shared" si="0"/>
        <v>2388</v>
      </c>
    </row>
    <row r="24" spans="1:34" x14ac:dyDescent="0.3">
      <c r="A24" s="15" t="s">
        <v>259</v>
      </c>
      <c r="B24" s="15" t="s">
        <v>260</v>
      </c>
      <c r="C24" s="16">
        <v>74</v>
      </c>
      <c r="D24" s="16">
        <v>65</v>
      </c>
      <c r="E24" s="16">
        <v>94</v>
      </c>
      <c r="F24" s="16">
        <v>79</v>
      </c>
      <c r="G24" s="16">
        <v>118</v>
      </c>
      <c r="H24" s="16">
        <v>95</v>
      </c>
      <c r="I24" s="16">
        <v>0</v>
      </c>
      <c r="J24" s="16">
        <v>0</v>
      </c>
      <c r="K24" s="16">
        <v>103</v>
      </c>
      <c r="L24" s="16">
        <v>0</v>
      </c>
      <c r="M24" s="16">
        <v>71</v>
      </c>
      <c r="N24" s="16">
        <v>0</v>
      </c>
      <c r="O24" s="16">
        <v>112</v>
      </c>
      <c r="P24" s="16">
        <v>91</v>
      </c>
      <c r="Q24" s="16">
        <v>112</v>
      </c>
      <c r="R24" s="16">
        <v>96</v>
      </c>
      <c r="S24" s="16">
        <v>90</v>
      </c>
      <c r="T24" s="16">
        <v>89</v>
      </c>
      <c r="U24" s="16">
        <v>75</v>
      </c>
      <c r="V24" s="16">
        <v>67</v>
      </c>
      <c r="W24" s="16">
        <v>116</v>
      </c>
      <c r="X24" s="16">
        <v>91</v>
      </c>
      <c r="Y24" s="16">
        <v>110</v>
      </c>
      <c r="Z24" s="16">
        <v>86</v>
      </c>
      <c r="AA24" s="16">
        <v>68</v>
      </c>
      <c r="AB24" s="16">
        <v>99</v>
      </c>
      <c r="AC24" s="16">
        <v>0</v>
      </c>
      <c r="AD24" s="16">
        <v>67</v>
      </c>
      <c r="AE24" s="16">
        <v>73</v>
      </c>
      <c r="AF24" s="16">
        <v>95</v>
      </c>
      <c r="AG24" s="16">
        <v>81</v>
      </c>
      <c r="AH24" s="17">
        <f t="shared" si="0"/>
        <v>2317</v>
      </c>
    </row>
    <row r="25" spans="1:34" x14ac:dyDescent="0.3">
      <c r="A25" s="15" t="s">
        <v>262</v>
      </c>
      <c r="B25" s="15" t="s">
        <v>263</v>
      </c>
      <c r="C25" s="16">
        <v>94</v>
      </c>
      <c r="D25" s="16">
        <v>104</v>
      </c>
      <c r="E25" s="16">
        <v>74</v>
      </c>
      <c r="F25" s="16">
        <v>0</v>
      </c>
      <c r="G25" s="16">
        <v>90</v>
      </c>
      <c r="H25" s="16">
        <v>86</v>
      </c>
      <c r="I25" s="16">
        <v>86</v>
      </c>
      <c r="J25" s="16">
        <v>0</v>
      </c>
      <c r="K25" s="16">
        <v>108</v>
      </c>
      <c r="L25" s="16">
        <v>115</v>
      </c>
      <c r="M25" s="16">
        <v>78</v>
      </c>
      <c r="N25" s="16">
        <v>95</v>
      </c>
      <c r="O25" s="16">
        <v>94</v>
      </c>
      <c r="P25" s="16">
        <v>0</v>
      </c>
      <c r="Q25" s="16">
        <v>101</v>
      </c>
      <c r="R25" s="16">
        <v>112</v>
      </c>
      <c r="S25" s="16">
        <v>73</v>
      </c>
      <c r="T25" s="16">
        <v>0</v>
      </c>
      <c r="U25" s="16">
        <v>73</v>
      </c>
      <c r="V25" s="16">
        <v>97</v>
      </c>
      <c r="W25" s="16">
        <v>70</v>
      </c>
      <c r="X25" s="16">
        <v>71</v>
      </c>
      <c r="Y25" s="16">
        <v>66</v>
      </c>
      <c r="Z25" s="16">
        <v>62</v>
      </c>
      <c r="AA25" s="16">
        <v>0</v>
      </c>
      <c r="AB25" s="16">
        <v>86</v>
      </c>
      <c r="AC25" s="16">
        <v>94</v>
      </c>
      <c r="AD25" s="16">
        <v>77</v>
      </c>
      <c r="AE25" s="16">
        <v>74</v>
      </c>
      <c r="AF25" s="16">
        <v>100</v>
      </c>
      <c r="AG25" s="16">
        <v>99</v>
      </c>
      <c r="AH25" s="17">
        <f t="shared" si="0"/>
        <v>2279</v>
      </c>
    </row>
    <row r="26" spans="1:34" x14ac:dyDescent="0.3">
      <c r="A26" s="15" t="s">
        <v>265</v>
      </c>
      <c r="B26" s="15" t="s">
        <v>266</v>
      </c>
      <c r="C26" s="16">
        <v>69</v>
      </c>
      <c r="D26" s="16">
        <v>95</v>
      </c>
      <c r="E26" s="16">
        <v>0</v>
      </c>
      <c r="F26" s="16">
        <v>85</v>
      </c>
      <c r="G26" s="16">
        <v>96</v>
      </c>
      <c r="H26" s="16">
        <v>66</v>
      </c>
      <c r="I26" s="16">
        <v>62</v>
      </c>
      <c r="J26" s="16">
        <v>0</v>
      </c>
      <c r="K26" s="16">
        <v>68</v>
      </c>
      <c r="L26" s="16">
        <v>64</v>
      </c>
      <c r="M26" s="16">
        <v>70</v>
      </c>
      <c r="N26" s="16">
        <v>64</v>
      </c>
      <c r="O26" s="16">
        <v>60</v>
      </c>
      <c r="P26" s="16">
        <v>95</v>
      </c>
      <c r="Q26" s="16">
        <v>0</v>
      </c>
      <c r="R26" s="16">
        <v>86</v>
      </c>
      <c r="S26" s="16">
        <v>97</v>
      </c>
      <c r="T26" s="16">
        <v>101</v>
      </c>
      <c r="U26" s="16">
        <v>78</v>
      </c>
      <c r="V26" s="16">
        <v>79</v>
      </c>
      <c r="W26" s="16">
        <v>71</v>
      </c>
      <c r="X26" s="16">
        <v>0</v>
      </c>
      <c r="Y26" s="16">
        <v>76</v>
      </c>
      <c r="Z26" s="16">
        <v>70</v>
      </c>
      <c r="AA26" s="16">
        <v>83</v>
      </c>
      <c r="AB26" s="16">
        <v>78</v>
      </c>
      <c r="AC26" s="16">
        <v>86</v>
      </c>
      <c r="AD26" s="16">
        <v>100</v>
      </c>
      <c r="AE26" s="16">
        <v>92</v>
      </c>
      <c r="AF26" s="16">
        <v>0</v>
      </c>
      <c r="AG26" s="16">
        <v>86</v>
      </c>
      <c r="AH26" s="17">
        <f t="shared" si="0"/>
        <v>2077</v>
      </c>
    </row>
    <row r="27" spans="1:34" x14ac:dyDescent="0.3">
      <c r="A27" s="15" t="s">
        <v>268</v>
      </c>
      <c r="B27" s="15" t="s">
        <v>269</v>
      </c>
      <c r="C27" s="16">
        <v>0</v>
      </c>
      <c r="D27" s="16">
        <v>78</v>
      </c>
      <c r="E27" s="16">
        <v>0</v>
      </c>
      <c r="F27" s="16">
        <v>68</v>
      </c>
      <c r="G27" s="16">
        <v>82</v>
      </c>
      <c r="H27" s="16">
        <v>84</v>
      </c>
      <c r="I27" s="16">
        <v>72</v>
      </c>
      <c r="J27" s="16">
        <v>0</v>
      </c>
      <c r="K27" s="16">
        <v>56</v>
      </c>
      <c r="L27" s="16">
        <v>47</v>
      </c>
      <c r="M27" s="16">
        <v>75</v>
      </c>
      <c r="N27" s="16">
        <v>64</v>
      </c>
      <c r="O27" s="16">
        <v>71</v>
      </c>
      <c r="P27" s="16">
        <v>81</v>
      </c>
      <c r="Q27" s="16">
        <v>52</v>
      </c>
      <c r="R27" s="16">
        <v>68</v>
      </c>
      <c r="S27" s="16">
        <v>70</v>
      </c>
      <c r="T27" s="16">
        <v>65</v>
      </c>
      <c r="U27" s="16">
        <v>49</v>
      </c>
      <c r="V27" s="16">
        <v>59</v>
      </c>
      <c r="W27" s="16">
        <v>58</v>
      </c>
      <c r="X27" s="16">
        <v>0</v>
      </c>
      <c r="Y27" s="16">
        <v>72</v>
      </c>
      <c r="Z27" s="16">
        <v>79</v>
      </c>
      <c r="AA27" s="16">
        <v>58</v>
      </c>
      <c r="AB27" s="16">
        <v>72</v>
      </c>
      <c r="AC27" s="16">
        <v>57</v>
      </c>
      <c r="AD27" s="16">
        <v>82</v>
      </c>
      <c r="AE27" s="16">
        <v>77</v>
      </c>
      <c r="AF27" s="16">
        <v>67</v>
      </c>
      <c r="AG27" s="16">
        <v>0</v>
      </c>
      <c r="AH27" s="17">
        <f t="shared" si="0"/>
        <v>1763</v>
      </c>
    </row>
    <row r="28" spans="1:34" x14ac:dyDescent="0.3">
      <c r="A28" s="15" t="s">
        <v>271</v>
      </c>
      <c r="B28" s="15" t="s">
        <v>272</v>
      </c>
      <c r="C28" s="16">
        <v>84</v>
      </c>
      <c r="D28" s="16">
        <v>61</v>
      </c>
      <c r="E28" s="16">
        <v>0</v>
      </c>
      <c r="F28" s="16">
        <v>0</v>
      </c>
      <c r="G28" s="16">
        <v>66</v>
      </c>
      <c r="H28" s="16">
        <v>84</v>
      </c>
      <c r="I28" s="16">
        <v>71</v>
      </c>
      <c r="J28" s="16">
        <v>67</v>
      </c>
      <c r="K28" s="16">
        <v>0</v>
      </c>
      <c r="L28" s="16">
        <v>62</v>
      </c>
      <c r="M28" s="16">
        <v>0</v>
      </c>
      <c r="N28" s="16">
        <v>53</v>
      </c>
      <c r="O28" s="16">
        <v>60</v>
      </c>
      <c r="P28" s="16">
        <v>75</v>
      </c>
      <c r="Q28" s="16">
        <v>0</v>
      </c>
      <c r="R28" s="16">
        <v>70</v>
      </c>
      <c r="S28" s="16">
        <v>75</v>
      </c>
      <c r="T28" s="16">
        <v>54</v>
      </c>
      <c r="U28" s="16">
        <v>67</v>
      </c>
      <c r="V28" s="16">
        <v>82</v>
      </c>
      <c r="W28" s="16">
        <v>63</v>
      </c>
      <c r="X28" s="16">
        <v>73</v>
      </c>
      <c r="Y28" s="16">
        <v>50</v>
      </c>
      <c r="Z28" s="16">
        <v>84</v>
      </c>
      <c r="AA28" s="16">
        <v>70</v>
      </c>
      <c r="AB28" s="16">
        <v>55</v>
      </c>
      <c r="AC28" s="16">
        <v>52</v>
      </c>
      <c r="AD28" s="16">
        <v>67</v>
      </c>
      <c r="AE28" s="16">
        <v>67</v>
      </c>
      <c r="AF28" s="16">
        <v>49</v>
      </c>
      <c r="AG28" s="16">
        <v>84</v>
      </c>
      <c r="AH28" s="17">
        <f t="shared" si="0"/>
        <v>1745</v>
      </c>
    </row>
    <row r="29" spans="1:34" x14ac:dyDescent="0.3">
      <c r="A29" s="15" t="s">
        <v>273</v>
      </c>
      <c r="B29" s="15" t="s">
        <v>274</v>
      </c>
      <c r="C29" s="16">
        <v>72</v>
      </c>
      <c r="D29" s="16">
        <v>60</v>
      </c>
      <c r="E29" s="16">
        <v>68</v>
      </c>
      <c r="F29" s="16">
        <v>0</v>
      </c>
      <c r="G29" s="16">
        <v>60</v>
      </c>
      <c r="H29" s="16">
        <v>52</v>
      </c>
      <c r="I29" s="16">
        <v>72</v>
      </c>
      <c r="J29" s="16">
        <v>77</v>
      </c>
      <c r="K29" s="16">
        <v>51</v>
      </c>
      <c r="L29" s="16">
        <v>62</v>
      </c>
      <c r="M29" s="16">
        <v>56</v>
      </c>
      <c r="N29" s="16">
        <v>75</v>
      </c>
      <c r="O29" s="16">
        <v>60</v>
      </c>
      <c r="P29" s="16">
        <v>74</v>
      </c>
      <c r="Q29" s="16">
        <v>0</v>
      </c>
      <c r="R29" s="16">
        <v>73</v>
      </c>
      <c r="S29" s="16">
        <v>52</v>
      </c>
      <c r="T29" s="16">
        <v>70</v>
      </c>
      <c r="U29" s="16">
        <v>57</v>
      </c>
      <c r="V29" s="16">
        <v>76</v>
      </c>
      <c r="W29" s="16">
        <v>0</v>
      </c>
      <c r="X29" s="16">
        <v>60</v>
      </c>
      <c r="Y29" s="16">
        <v>72</v>
      </c>
      <c r="Z29" s="16">
        <v>52</v>
      </c>
      <c r="AA29" s="16">
        <v>53</v>
      </c>
      <c r="AB29" s="16">
        <v>63</v>
      </c>
      <c r="AC29" s="16">
        <v>78</v>
      </c>
      <c r="AD29" s="16">
        <v>60</v>
      </c>
      <c r="AE29" s="16">
        <v>47</v>
      </c>
      <c r="AF29" s="16">
        <v>0</v>
      </c>
      <c r="AG29" s="16">
        <v>0</v>
      </c>
      <c r="AH29" s="17">
        <f t="shared" si="0"/>
        <v>1652</v>
      </c>
    </row>
    <row r="30" spans="1:34" x14ac:dyDescent="0.3">
      <c r="A30" s="15" t="s">
        <v>276</v>
      </c>
      <c r="B30" s="15" t="s">
        <v>277</v>
      </c>
      <c r="C30" s="16">
        <v>63</v>
      </c>
      <c r="D30" s="16">
        <v>59</v>
      </c>
      <c r="E30" s="16">
        <v>55</v>
      </c>
      <c r="F30" s="16">
        <v>50</v>
      </c>
      <c r="G30" s="16">
        <v>68</v>
      </c>
      <c r="H30" s="16">
        <v>64</v>
      </c>
      <c r="I30" s="16">
        <v>51</v>
      </c>
      <c r="J30" s="16">
        <v>71</v>
      </c>
      <c r="K30" s="16">
        <v>44</v>
      </c>
      <c r="L30" s="16">
        <v>70</v>
      </c>
      <c r="M30" s="16">
        <v>0</v>
      </c>
      <c r="N30" s="16">
        <v>0</v>
      </c>
      <c r="O30" s="16">
        <v>69</v>
      </c>
      <c r="P30" s="16">
        <v>73</v>
      </c>
      <c r="Q30" s="16">
        <v>57</v>
      </c>
      <c r="R30" s="16">
        <v>0</v>
      </c>
      <c r="S30" s="16">
        <v>67</v>
      </c>
      <c r="T30" s="16">
        <v>0</v>
      </c>
      <c r="U30" s="16">
        <v>73</v>
      </c>
      <c r="V30" s="16">
        <v>79</v>
      </c>
      <c r="W30" s="16">
        <v>61</v>
      </c>
      <c r="X30" s="16">
        <v>44</v>
      </c>
      <c r="Y30" s="16">
        <v>61</v>
      </c>
      <c r="Z30" s="16">
        <v>64</v>
      </c>
      <c r="AA30" s="16">
        <v>0</v>
      </c>
      <c r="AB30" s="16">
        <v>75</v>
      </c>
      <c r="AC30" s="16">
        <v>75</v>
      </c>
      <c r="AD30" s="16">
        <v>59</v>
      </c>
      <c r="AE30" s="16">
        <v>62</v>
      </c>
      <c r="AF30" s="16">
        <v>60</v>
      </c>
      <c r="AG30" s="16">
        <v>69</v>
      </c>
      <c r="AH30" s="17">
        <f t="shared" si="0"/>
        <v>1643</v>
      </c>
    </row>
    <row r="31" spans="1:34" x14ac:dyDescent="0.3">
      <c r="A31" s="15" t="s">
        <v>278</v>
      </c>
      <c r="B31" s="15" t="s">
        <v>279</v>
      </c>
      <c r="C31" s="16">
        <v>52</v>
      </c>
      <c r="D31" s="16">
        <v>68</v>
      </c>
      <c r="E31" s="16">
        <v>0</v>
      </c>
      <c r="F31" s="16">
        <v>48</v>
      </c>
      <c r="G31" s="16">
        <v>0</v>
      </c>
      <c r="H31" s="16">
        <v>59</v>
      </c>
      <c r="I31" s="16">
        <v>58</v>
      </c>
      <c r="J31" s="16">
        <v>64</v>
      </c>
      <c r="K31" s="16">
        <v>64</v>
      </c>
      <c r="L31" s="16">
        <v>64</v>
      </c>
      <c r="M31" s="16">
        <v>49</v>
      </c>
      <c r="N31" s="16">
        <v>47</v>
      </c>
      <c r="O31" s="16">
        <v>60</v>
      </c>
      <c r="P31" s="16">
        <v>0</v>
      </c>
      <c r="Q31" s="16">
        <v>61</v>
      </c>
      <c r="R31" s="16">
        <v>65</v>
      </c>
      <c r="S31" s="16">
        <v>38</v>
      </c>
      <c r="T31" s="16">
        <v>39</v>
      </c>
      <c r="U31" s="16">
        <v>57</v>
      </c>
      <c r="V31" s="16">
        <v>66</v>
      </c>
      <c r="W31" s="16">
        <v>0</v>
      </c>
      <c r="X31" s="16">
        <v>69</v>
      </c>
      <c r="Y31" s="16">
        <v>61</v>
      </c>
      <c r="Z31" s="16">
        <v>51</v>
      </c>
      <c r="AA31" s="16">
        <v>40</v>
      </c>
      <c r="AB31" s="16">
        <v>57</v>
      </c>
      <c r="AC31" s="16">
        <v>65</v>
      </c>
      <c r="AD31" s="16">
        <v>0</v>
      </c>
      <c r="AE31" s="16">
        <v>51</v>
      </c>
      <c r="AF31" s="16">
        <v>59</v>
      </c>
      <c r="AG31" s="16">
        <v>66</v>
      </c>
      <c r="AH31" s="17">
        <f t="shared" si="0"/>
        <v>1478</v>
      </c>
    </row>
    <row r="32" spans="1:34" x14ac:dyDescent="0.3">
      <c r="A32" s="15" t="s">
        <v>281</v>
      </c>
      <c r="B32" s="15" t="s">
        <v>282</v>
      </c>
      <c r="C32" s="16">
        <v>50</v>
      </c>
      <c r="D32" s="16">
        <v>0</v>
      </c>
      <c r="E32" s="16">
        <v>42</v>
      </c>
      <c r="F32" s="16">
        <v>55</v>
      </c>
      <c r="G32" s="16">
        <v>56</v>
      </c>
      <c r="H32" s="16">
        <v>63</v>
      </c>
      <c r="I32" s="16">
        <v>43</v>
      </c>
      <c r="J32" s="16">
        <v>40</v>
      </c>
      <c r="K32" s="16">
        <v>66</v>
      </c>
      <c r="L32" s="16">
        <v>0</v>
      </c>
      <c r="M32" s="16">
        <v>0</v>
      </c>
      <c r="N32" s="16">
        <v>0</v>
      </c>
      <c r="O32" s="16">
        <v>58</v>
      </c>
      <c r="P32" s="16">
        <v>45</v>
      </c>
      <c r="Q32" s="16">
        <v>67</v>
      </c>
      <c r="R32" s="16">
        <v>42</v>
      </c>
      <c r="S32" s="16">
        <v>52</v>
      </c>
      <c r="T32" s="16">
        <v>46</v>
      </c>
      <c r="U32" s="16">
        <v>46</v>
      </c>
      <c r="V32" s="16">
        <v>38</v>
      </c>
      <c r="W32" s="16">
        <v>64</v>
      </c>
      <c r="X32" s="16">
        <v>67</v>
      </c>
      <c r="Y32" s="16">
        <v>59</v>
      </c>
      <c r="Z32" s="16">
        <v>43</v>
      </c>
      <c r="AA32" s="16">
        <v>52</v>
      </c>
      <c r="AB32" s="16">
        <v>0</v>
      </c>
      <c r="AC32" s="16">
        <v>49</v>
      </c>
      <c r="AD32" s="16">
        <v>57</v>
      </c>
      <c r="AE32" s="16">
        <v>58</v>
      </c>
      <c r="AF32" s="16">
        <v>51</v>
      </c>
      <c r="AG32" s="16">
        <v>46</v>
      </c>
      <c r="AH32" s="17">
        <f t="shared" si="0"/>
        <v>1355</v>
      </c>
    </row>
    <row r="33" spans="1:34" x14ac:dyDescent="0.3">
      <c r="A33" s="15" t="s">
        <v>284</v>
      </c>
      <c r="B33" s="15" t="s">
        <v>285</v>
      </c>
      <c r="C33" s="16">
        <v>38</v>
      </c>
      <c r="D33" s="16">
        <v>46</v>
      </c>
      <c r="E33" s="16">
        <v>45</v>
      </c>
      <c r="F33" s="16">
        <v>43</v>
      </c>
      <c r="G33" s="16">
        <v>55</v>
      </c>
      <c r="H33" s="16">
        <v>35</v>
      </c>
      <c r="I33" s="16">
        <v>0</v>
      </c>
      <c r="J33" s="16">
        <v>59</v>
      </c>
      <c r="K33" s="16">
        <v>46</v>
      </c>
      <c r="L33" s="16">
        <v>0</v>
      </c>
      <c r="M33" s="16">
        <v>35</v>
      </c>
      <c r="N33" s="16">
        <v>60</v>
      </c>
      <c r="O33" s="16">
        <v>0</v>
      </c>
      <c r="P33" s="16">
        <v>58</v>
      </c>
      <c r="Q33" s="16">
        <v>64</v>
      </c>
      <c r="R33" s="16">
        <v>0</v>
      </c>
      <c r="S33" s="16">
        <v>62</v>
      </c>
      <c r="T33" s="16">
        <v>57</v>
      </c>
      <c r="U33" s="16">
        <v>59</v>
      </c>
      <c r="V33" s="16">
        <v>62</v>
      </c>
      <c r="W33" s="16">
        <v>58</v>
      </c>
      <c r="X33" s="16">
        <v>42</v>
      </c>
      <c r="Y33" s="16">
        <v>59</v>
      </c>
      <c r="Z33" s="16">
        <v>41</v>
      </c>
      <c r="AA33" s="16">
        <v>40</v>
      </c>
      <c r="AB33" s="16">
        <v>42</v>
      </c>
      <c r="AC33" s="16">
        <v>57</v>
      </c>
      <c r="AD33" s="16">
        <v>0</v>
      </c>
      <c r="AE33" s="16">
        <v>58</v>
      </c>
      <c r="AF33" s="16">
        <v>55</v>
      </c>
      <c r="AG33" s="16">
        <v>39</v>
      </c>
      <c r="AH33" s="17">
        <f t="shared" si="0"/>
        <v>1315</v>
      </c>
    </row>
    <row r="34" spans="1:34" x14ac:dyDescent="0.3">
      <c r="A34" s="15" t="s">
        <v>287</v>
      </c>
      <c r="B34" s="15" t="s">
        <v>288</v>
      </c>
      <c r="C34" s="16">
        <v>57</v>
      </c>
      <c r="D34" s="16">
        <v>0</v>
      </c>
      <c r="E34" s="16">
        <v>35</v>
      </c>
      <c r="F34" s="16">
        <v>0</v>
      </c>
      <c r="G34" s="16">
        <v>44</v>
      </c>
      <c r="H34" s="16">
        <v>38</v>
      </c>
      <c r="I34" s="16">
        <v>60</v>
      </c>
      <c r="J34" s="16">
        <v>43</v>
      </c>
      <c r="K34" s="16">
        <v>46</v>
      </c>
      <c r="L34" s="16">
        <v>0</v>
      </c>
      <c r="M34" s="16">
        <v>40</v>
      </c>
      <c r="N34" s="16">
        <v>57</v>
      </c>
      <c r="O34" s="16">
        <v>59</v>
      </c>
      <c r="P34" s="16">
        <v>44</v>
      </c>
      <c r="Q34" s="16">
        <v>48</v>
      </c>
      <c r="R34" s="16">
        <v>42</v>
      </c>
      <c r="S34" s="16">
        <v>39</v>
      </c>
      <c r="T34" s="16">
        <v>60</v>
      </c>
      <c r="U34" s="16">
        <v>61</v>
      </c>
      <c r="V34" s="16">
        <v>62</v>
      </c>
      <c r="W34" s="16">
        <v>0</v>
      </c>
      <c r="X34" s="16">
        <v>42</v>
      </c>
      <c r="Y34" s="16">
        <v>59</v>
      </c>
      <c r="Z34" s="16">
        <v>57</v>
      </c>
      <c r="AA34" s="16">
        <v>47</v>
      </c>
      <c r="AB34" s="16">
        <v>36</v>
      </c>
      <c r="AC34" s="16">
        <v>56</v>
      </c>
      <c r="AD34" s="16">
        <v>40</v>
      </c>
      <c r="AE34" s="16">
        <v>0</v>
      </c>
      <c r="AF34" s="16">
        <v>53</v>
      </c>
      <c r="AG34" s="16">
        <v>53</v>
      </c>
      <c r="AH34" s="17">
        <f t="shared" ref="AH34:AH65" si="1">SUM(C34:AG34)</f>
        <v>1278</v>
      </c>
    </row>
    <row r="35" spans="1:34" x14ac:dyDescent="0.3">
      <c r="A35" s="15" t="s">
        <v>290</v>
      </c>
      <c r="B35" s="15" t="s">
        <v>291</v>
      </c>
      <c r="C35" s="16">
        <v>99</v>
      </c>
      <c r="D35" s="16">
        <v>127</v>
      </c>
      <c r="E35" s="16">
        <v>77</v>
      </c>
      <c r="F35" s="16">
        <v>111</v>
      </c>
      <c r="G35" s="16">
        <v>105</v>
      </c>
      <c r="H35" s="16">
        <v>119</v>
      </c>
      <c r="I35" s="16">
        <v>119</v>
      </c>
      <c r="J35" s="16">
        <v>114</v>
      </c>
      <c r="K35" s="16">
        <v>129</v>
      </c>
      <c r="L35" s="16">
        <v>137</v>
      </c>
      <c r="M35" s="16">
        <v>83</v>
      </c>
      <c r="N35" s="16">
        <v>91</v>
      </c>
      <c r="O35" s="16">
        <v>0</v>
      </c>
      <c r="P35" s="16">
        <v>77</v>
      </c>
      <c r="Q35" s="16">
        <v>133</v>
      </c>
      <c r="R35" s="16">
        <v>112</v>
      </c>
      <c r="S35" s="16">
        <v>135</v>
      </c>
      <c r="T35" s="16">
        <v>0</v>
      </c>
      <c r="U35" s="16">
        <v>90</v>
      </c>
      <c r="V35" s="16">
        <v>80</v>
      </c>
      <c r="W35" s="16">
        <v>129</v>
      </c>
      <c r="X35" s="16">
        <v>135</v>
      </c>
      <c r="Y35" s="16">
        <v>95</v>
      </c>
      <c r="Z35" s="16">
        <v>102</v>
      </c>
      <c r="AA35" s="16">
        <v>85</v>
      </c>
      <c r="AB35" s="16">
        <v>0</v>
      </c>
      <c r="AC35" s="16">
        <v>137</v>
      </c>
      <c r="AD35" s="16">
        <v>0</v>
      </c>
      <c r="AE35" s="16">
        <v>95</v>
      </c>
      <c r="AF35" s="16">
        <v>108</v>
      </c>
      <c r="AG35" s="16">
        <v>0</v>
      </c>
      <c r="AH35" s="17">
        <f t="shared" si="1"/>
        <v>2824</v>
      </c>
    </row>
    <row r="36" spans="1:34" x14ac:dyDescent="0.3">
      <c r="A36" s="15" t="s">
        <v>293</v>
      </c>
      <c r="B36" s="15" t="s">
        <v>294</v>
      </c>
      <c r="C36" s="16">
        <v>95</v>
      </c>
      <c r="D36" s="16">
        <v>94</v>
      </c>
      <c r="E36" s="16">
        <v>129</v>
      </c>
      <c r="F36" s="16">
        <v>0</v>
      </c>
      <c r="G36" s="16">
        <v>0</v>
      </c>
      <c r="H36" s="16">
        <v>114</v>
      </c>
      <c r="I36" s="16">
        <v>104</v>
      </c>
      <c r="J36" s="16">
        <v>0</v>
      </c>
      <c r="K36" s="16">
        <v>107</v>
      </c>
      <c r="L36" s="16">
        <v>116</v>
      </c>
      <c r="M36" s="16">
        <v>125</v>
      </c>
      <c r="N36" s="16">
        <v>111</v>
      </c>
      <c r="O36" s="16">
        <v>122</v>
      </c>
      <c r="P36" s="16">
        <v>109</v>
      </c>
      <c r="Q36" s="16">
        <v>129</v>
      </c>
      <c r="R36" s="16">
        <v>88</v>
      </c>
      <c r="S36" s="16">
        <v>113</v>
      </c>
      <c r="T36" s="16">
        <v>0</v>
      </c>
      <c r="U36" s="16">
        <v>85</v>
      </c>
      <c r="V36" s="16">
        <v>99</v>
      </c>
      <c r="W36" s="16">
        <v>86</v>
      </c>
      <c r="X36" s="16">
        <v>93</v>
      </c>
      <c r="Y36" s="16">
        <v>131</v>
      </c>
      <c r="Z36" s="16">
        <v>94</v>
      </c>
      <c r="AA36" s="16">
        <v>126</v>
      </c>
      <c r="AB36" s="16">
        <v>111</v>
      </c>
      <c r="AC36" s="16">
        <v>75</v>
      </c>
      <c r="AD36" s="16">
        <v>88</v>
      </c>
      <c r="AE36" s="16">
        <v>0</v>
      </c>
      <c r="AF36" s="16">
        <v>130</v>
      </c>
      <c r="AG36" s="16">
        <v>129</v>
      </c>
      <c r="AH36" s="17">
        <f t="shared" si="1"/>
        <v>2803</v>
      </c>
    </row>
    <row r="37" spans="1:34" x14ac:dyDescent="0.3">
      <c r="A37" s="15" t="s">
        <v>296</v>
      </c>
      <c r="B37" s="15" t="s">
        <v>297</v>
      </c>
      <c r="C37" s="16">
        <v>124</v>
      </c>
      <c r="D37" s="16">
        <v>121</v>
      </c>
      <c r="E37" s="16">
        <v>0</v>
      </c>
      <c r="F37" s="16">
        <v>81</v>
      </c>
      <c r="G37" s="16">
        <v>134</v>
      </c>
      <c r="H37" s="16">
        <v>97</v>
      </c>
      <c r="I37" s="16">
        <v>0</v>
      </c>
      <c r="J37" s="16">
        <v>88</v>
      </c>
      <c r="K37" s="16">
        <v>118</v>
      </c>
      <c r="L37" s="16">
        <v>85</v>
      </c>
      <c r="M37" s="16">
        <v>132</v>
      </c>
      <c r="N37" s="16">
        <v>94</v>
      </c>
      <c r="O37" s="16">
        <v>95</v>
      </c>
      <c r="P37" s="16">
        <v>139</v>
      </c>
      <c r="Q37" s="16">
        <v>0</v>
      </c>
      <c r="R37" s="16">
        <v>102</v>
      </c>
      <c r="S37" s="16">
        <v>90</v>
      </c>
      <c r="T37" s="16">
        <v>141</v>
      </c>
      <c r="U37" s="16">
        <v>80</v>
      </c>
      <c r="V37" s="16">
        <v>139</v>
      </c>
      <c r="W37" s="16">
        <v>90</v>
      </c>
      <c r="X37" s="16">
        <v>0</v>
      </c>
      <c r="Y37" s="16">
        <v>89</v>
      </c>
      <c r="Z37" s="16">
        <v>97</v>
      </c>
      <c r="AA37" s="16">
        <v>92</v>
      </c>
      <c r="AB37" s="16">
        <v>125</v>
      </c>
      <c r="AC37" s="16">
        <v>0</v>
      </c>
      <c r="AD37" s="16">
        <v>82</v>
      </c>
      <c r="AE37" s="16">
        <v>81</v>
      </c>
      <c r="AF37" s="16">
        <v>134</v>
      </c>
      <c r="AG37" s="16">
        <v>96</v>
      </c>
      <c r="AH37" s="17">
        <f t="shared" si="1"/>
        <v>2746</v>
      </c>
    </row>
    <row r="38" spans="1:34" x14ac:dyDescent="0.3">
      <c r="A38" s="15" t="s">
        <v>299</v>
      </c>
      <c r="B38" s="15" t="s">
        <v>300</v>
      </c>
      <c r="C38" s="16">
        <v>0</v>
      </c>
      <c r="D38" s="16">
        <v>0</v>
      </c>
      <c r="E38" s="16">
        <v>77</v>
      </c>
      <c r="F38" s="16">
        <v>94</v>
      </c>
      <c r="G38" s="16">
        <v>76</v>
      </c>
      <c r="H38" s="16">
        <v>0</v>
      </c>
      <c r="I38" s="16">
        <v>73</v>
      </c>
      <c r="J38" s="16">
        <v>96</v>
      </c>
      <c r="K38" s="16">
        <v>0</v>
      </c>
      <c r="L38" s="16">
        <v>91</v>
      </c>
      <c r="M38" s="16">
        <v>0</v>
      </c>
      <c r="N38" s="16">
        <v>105</v>
      </c>
      <c r="O38" s="16">
        <v>96</v>
      </c>
      <c r="P38" s="16">
        <v>83</v>
      </c>
      <c r="Q38" s="16">
        <v>106</v>
      </c>
      <c r="R38" s="16">
        <v>113</v>
      </c>
      <c r="S38" s="16">
        <v>124</v>
      </c>
      <c r="T38" s="16">
        <v>109</v>
      </c>
      <c r="U38" s="16">
        <v>87</v>
      </c>
      <c r="V38" s="16">
        <v>108</v>
      </c>
      <c r="W38" s="16">
        <v>71</v>
      </c>
      <c r="X38" s="16">
        <v>129</v>
      </c>
      <c r="Y38" s="16">
        <v>120</v>
      </c>
      <c r="Z38" s="16">
        <v>95</v>
      </c>
      <c r="AA38" s="16">
        <v>76</v>
      </c>
      <c r="AB38" s="16">
        <v>112</v>
      </c>
      <c r="AC38" s="16">
        <v>96</v>
      </c>
      <c r="AD38" s="16">
        <v>123</v>
      </c>
      <c r="AE38" s="16">
        <v>89</v>
      </c>
      <c r="AF38" s="16">
        <v>78</v>
      </c>
      <c r="AG38" s="16">
        <v>77</v>
      </c>
      <c r="AH38" s="17">
        <f t="shared" si="1"/>
        <v>2504</v>
      </c>
    </row>
    <row r="39" spans="1:34" x14ac:dyDescent="0.3">
      <c r="A39" s="15" t="s">
        <v>302</v>
      </c>
      <c r="B39" s="15" t="s">
        <v>303</v>
      </c>
      <c r="C39" s="16">
        <v>83</v>
      </c>
      <c r="D39" s="16">
        <v>121</v>
      </c>
      <c r="E39" s="16">
        <v>95</v>
      </c>
      <c r="F39" s="16">
        <v>91</v>
      </c>
      <c r="G39" s="16">
        <v>99</v>
      </c>
      <c r="H39" s="16">
        <v>71</v>
      </c>
      <c r="I39" s="16">
        <v>105</v>
      </c>
      <c r="J39" s="16">
        <v>113</v>
      </c>
      <c r="K39" s="16">
        <v>102</v>
      </c>
      <c r="L39" s="16">
        <v>108</v>
      </c>
      <c r="M39" s="16">
        <v>106</v>
      </c>
      <c r="N39" s="16">
        <v>77</v>
      </c>
      <c r="O39" s="16">
        <v>90</v>
      </c>
      <c r="P39" s="16">
        <v>78</v>
      </c>
      <c r="Q39" s="16">
        <v>84</v>
      </c>
      <c r="R39" s="16">
        <v>91</v>
      </c>
      <c r="S39" s="16">
        <v>89</v>
      </c>
      <c r="T39" s="16">
        <v>0</v>
      </c>
      <c r="U39" s="16">
        <v>0</v>
      </c>
      <c r="V39" s="16">
        <v>0</v>
      </c>
      <c r="W39" s="16">
        <v>0</v>
      </c>
      <c r="X39" s="16">
        <v>71</v>
      </c>
      <c r="Y39" s="16">
        <v>0</v>
      </c>
      <c r="Z39" s="16">
        <v>89</v>
      </c>
      <c r="AA39" s="16">
        <v>102</v>
      </c>
      <c r="AB39" s="16">
        <v>86</v>
      </c>
      <c r="AC39" s="16">
        <v>74</v>
      </c>
      <c r="AD39" s="16">
        <v>117</v>
      </c>
      <c r="AE39" s="16">
        <v>69</v>
      </c>
      <c r="AF39" s="16">
        <v>112</v>
      </c>
      <c r="AG39" s="16">
        <v>70</v>
      </c>
      <c r="AH39" s="17">
        <f t="shared" si="1"/>
        <v>2393</v>
      </c>
    </row>
    <row r="40" spans="1:34" x14ac:dyDescent="0.3">
      <c r="A40" s="15" t="s">
        <v>305</v>
      </c>
      <c r="B40" s="15" t="s">
        <v>306</v>
      </c>
      <c r="C40" s="16">
        <v>89</v>
      </c>
      <c r="D40" s="16">
        <v>91</v>
      </c>
      <c r="E40" s="16">
        <v>90</v>
      </c>
      <c r="F40" s="16">
        <v>0</v>
      </c>
      <c r="G40" s="16">
        <v>0</v>
      </c>
      <c r="H40" s="16">
        <v>78</v>
      </c>
      <c r="I40" s="16">
        <v>67</v>
      </c>
      <c r="J40" s="16">
        <v>79</v>
      </c>
      <c r="K40" s="16">
        <v>95</v>
      </c>
      <c r="L40" s="16">
        <v>100</v>
      </c>
      <c r="M40" s="16">
        <v>106</v>
      </c>
      <c r="N40" s="16">
        <v>0</v>
      </c>
      <c r="O40" s="16">
        <v>98</v>
      </c>
      <c r="P40" s="16">
        <v>111</v>
      </c>
      <c r="Q40" s="16">
        <v>92</v>
      </c>
      <c r="R40" s="16">
        <v>79</v>
      </c>
      <c r="S40" s="16">
        <v>91</v>
      </c>
      <c r="T40" s="16">
        <v>72</v>
      </c>
      <c r="U40" s="16">
        <v>95</v>
      </c>
      <c r="V40" s="16">
        <v>72</v>
      </c>
      <c r="W40" s="16">
        <v>66</v>
      </c>
      <c r="X40" s="16">
        <v>104</v>
      </c>
      <c r="Y40" s="16">
        <v>80</v>
      </c>
      <c r="Z40" s="16">
        <v>0</v>
      </c>
      <c r="AA40" s="16">
        <v>100</v>
      </c>
      <c r="AB40" s="16">
        <v>0</v>
      </c>
      <c r="AC40" s="16">
        <v>90</v>
      </c>
      <c r="AD40" s="16">
        <v>102</v>
      </c>
      <c r="AE40" s="16">
        <v>104</v>
      </c>
      <c r="AF40" s="16">
        <v>111</v>
      </c>
      <c r="AG40" s="16">
        <v>103</v>
      </c>
      <c r="AH40" s="17">
        <f t="shared" si="1"/>
        <v>2365</v>
      </c>
    </row>
    <row r="41" spans="1:34" x14ac:dyDescent="0.3">
      <c r="A41" s="15" t="s">
        <v>308</v>
      </c>
      <c r="B41" s="15" t="s">
        <v>309</v>
      </c>
      <c r="C41" s="16">
        <v>0</v>
      </c>
      <c r="D41" s="16">
        <v>86</v>
      </c>
      <c r="E41" s="16">
        <v>89</v>
      </c>
      <c r="F41" s="16">
        <v>91</v>
      </c>
      <c r="G41" s="16">
        <v>58</v>
      </c>
      <c r="H41" s="16">
        <v>70</v>
      </c>
      <c r="I41" s="16">
        <v>94</v>
      </c>
      <c r="J41" s="16">
        <v>102</v>
      </c>
      <c r="K41" s="16">
        <v>74</v>
      </c>
      <c r="L41" s="16">
        <v>66</v>
      </c>
      <c r="M41" s="16">
        <v>64</v>
      </c>
      <c r="N41" s="16">
        <v>89</v>
      </c>
      <c r="O41" s="16">
        <v>60</v>
      </c>
      <c r="P41" s="16">
        <v>93</v>
      </c>
      <c r="Q41" s="16">
        <v>104</v>
      </c>
      <c r="R41" s="16">
        <v>61</v>
      </c>
      <c r="S41" s="16">
        <v>83</v>
      </c>
      <c r="T41" s="16">
        <v>0</v>
      </c>
      <c r="U41" s="16">
        <v>75</v>
      </c>
      <c r="V41" s="16">
        <v>0</v>
      </c>
      <c r="W41" s="16">
        <v>0</v>
      </c>
      <c r="X41" s="16">
        <v>0</v>
      </c>
      <c r="Y41" s="16">
        <v>79</v>
      </c>
      <c r="Z41" s="16">
        <v>64</v>
      </c>
      <c r="AA41" s="16">
        <v>72</v>
      </c>
      <c r="AB41" s="16">
        <v>73</v>
      </c>
      <c r="AC41" s="16">
        <v>103</v>
      </c>
      <c r="AD41" s="16">
        <v>86</v>
      </c>
      <c r="AE41" s="16">
        <v>100</v>
      </c>
      <c r="AF41" s="16">
        <v>64</v>
      </c>
      <c r="AG41" s="16">
        <v>93</v>
      </c>
      <c r="AH41" s="17">
        <f t="shared" si="1"/>
        <v>2093</v>
      </c>
    </row>
    <row r="42" spans="1:34" x14ac:dyDescent="0.3">
      <c r="A42" s="15" t="s">
        <v>311</v>
      </c>
      <c r="B42" s="15" t="s">
        <v>312</v>
      </c>
      <c r="C42" s="16">
        <v>82</v>
      </c>
      <c r="D42" s="16">
        <v>0</v>
      </c>
      <c r="E42" s="16">
        <v>0</v>
      </c>
      <c r="F42" s="16">
        <v>74</v>
      </c>
      <c r="G42" s="16">
        <v>72</v>
      </c>
      <c r="H42" s="16">
        <v>64</v>
      </c>
      <c r="I42" s="16">
        <v>86</v>
      </c>
      <c r="J42" s="16">
        <v>57</v>
      </c>
      <c r="K42" s="16">
        <v>0</v>
      </c>
      <c r="L42" s="16">
        <v>71</v>
      </c>
      <c r="M42" s="16">
        <v>65</v>
      </c>
      <c r="N42" s="16">
        <v>82</v>
      </c>
      <c r="O42" s="16">
        <v>74</v>
      </c>
      <c r="P42" s="16">
        <v>82</v>
      </c>
      <c r="Q42" s="16">
        <v>0</v>
      </c>
      <c r="R42" s="16">
        <v>54</v>
      </c>
      <c r="S42" s="16">
        <v>70</v>
      </c>
      <c r="T42" s="16">
        <v>79</v>
      </c>
      <c r="U42" s="16">
        <v>52</v>
      </c>
      <c r="V42" s="16">
        <v>66</v>
      </c>
      <c r="W42" s="16">
        <v>62</v>
      </c>
      <c r="X42" s="16">
        <v>0</v>
      </c>
      <c r="Y42" s="16">
        <v>58</v>
      </c>
      <c r="Z42" s="16">
        <v>64</v>
      </c>
      <c r="AA42" s="16">
        <v>67</v>
      </c>
      <c r="AB42" s="16">
        <v>52</v>
      </c>
      <c r="AC42" s="16">
        <v>86</v>
      </c>
      <c r="AD42" s="16">
        <v>60</v>
      </c>
      <c r="AE42" s="16">
        <v>69</v>
      </c>
      <c r="AF42" s="16">
        <v>84</v>
      </c>
      <c r="AG42" s="16">
        <v>75</v>
      </c>
      <c r="AH42" s="17">
        <f t="shared" si="1"/>
        <v>1807</v>
      </c>
    </row>
    <row r="43" spans="1:34" x14ac:dyDescent="0.3">
      <c r="A43" s="15" t="s">
        <v>313</v>
      </c>
      <c r="B43" s="15" t="s">
        <v>314</v>
      </c>
      <c r="C43" s="16">
        <v>61</v>
      </c>
      <c r="D43" s="16">
        <v>74</v>
      </c>
      <c r="E43" s="16">
        <v>0</v>
      </c>
      <c r="F43" s="16">
        <v>62</v>
      </c>
      <c r="G43" s="16">
        <v>63</v>
      </c>
      <c r="H43" s="16">
        <v>48</v>
      </c>
      <c r="I43" s="16">
        <v>58</v>
      </c>
      <c r="J43" s="16">
        <v>62</v>
      </c>
      <c r="K43" s="16">
        <v>61</v>
      </c>
      <c r="L43" s="16">
        <v>70</v>
      </c>
      <c r="M43" s="16">
        <v>57</v>
      </c>
      <c r="N43" s="16">
        <v>0</v>
      </c>
      <c r="O43" s="16">
        <v>61</v>
      </c>
      <c r="P43" s="16">
        <v>83</v>
      </c>
      <c r="Q43" s="16">
        <v>52</v>
      </c>
      <c r="R43" s="16">
        <v>82</v>
      </c>
      <c r="S43" s="16">
        <v>63</v>
      </c>
      <c r="T43" s="16">
        <v>72</v>
      </c>
      <c r="U43" s="16">
        <v>60</v>
      </c>
      <c r="V43" s="16">
        <v>62</v>
      </c>
      <c r="W43" s="16">
        <v>50</v>
      </c>
      <c r="X43" s="16">
        <v>0</v>
      </c>
      <c r="Y43" s="16">
        <v>62</v>
      </c>
      <c r="Z43" s="16">
        <v>61</v>
      </c>
      <c r="AA43" s="16">
        <v>49</v>
      </c>
      <c r="AB43" s="16">
        <v>0</v>
      </c>
      <c r="AC43" s="16">
        <v>0</v>
      </c>
      <c r="AD43" s="16">
        <v>79</v>
      </c>
      <c r="AE43" s="16">
        <v>74</v>
      </c>
      <c r="AF43" s="16">
        <v>54</v>
      </c>
      <c r="AG43" s="16">
        <v>76</v>
      </c>
      <c r="AH43" s="17">
        <f t="shared" si="1"/>
        <v>1656</v>
      </c>
    </row>
    <row r="44" spans="1:34" x14ac:dyDescent="0.3">
      <c r="A44" s="15" t="s">
        <v>316</v>
      </c>
      <c r="B44" s="15" t="s">
        <v>317</v>
      </c>
      <c r="C44" s="16">
        <v>72</v>
      </c>
      <c r="D44" s="16">
        <v>53</v>
      </c>
      <c r="E44" s="16">
        <v>0</v>
      </c>
      <c r="F44" s="16">
        <v>0</v>
      </c>
      <c r="G44" s="16">
        <v>66</v>
      </c>
      <c r="H44" s="16">
        <v>69</v>
      </c>
      <c r="I44" s="16">
        <v>0</v>
      </c>
      <c r="J44" s="16">
        <v>69</v>
      </c>
      <c r="K44" s="16">
        <v>49</v>
      </c>
      <c r="L44" s="16">
        <v>45</v>
      </c>
      <c r="M44" s="16">
        <v>47</v>
      </c>
      <c r="N44" s="16">
        <v>61</v>
      </c>
      <c r="O44" s="16">
        <v>67</v>
      </c>
      <c r="P44" s="16">
        <v>63</v>
      </c>
      <c r="Q44" s="16">
        <v>47</v>
      </c>
      <c r="R44" s="16">
        <v>67</v>
      </c>
      <c r="S44" s="16">
        <v>0</v>
      </c>
      <c r="T44" s="16">
        <v>58</v>
      </c>
      <c r="U44" s="16">
        <v>67</v>
      </c>
      <c r="V44" s="16">
        <v>67</v>
      </c>
      <c r="W44" s="16">
        <v>0</v>
      </c>
      <c r="X44" s="16">
        <v>56</v>
      </c>
      <c r="Y44" s="16">
        <v>72</v>
      </c>
      <c r="Z44" s="16">
        <v>60</v>
      </c>
      <c r="AA44" s="16">
        <v>62</v>
      </c>
      <c r="AB44" s="16">
        <v>62</v>
      </c>
      <c r="AC44" s="16">
        <v>70</v>
      </c>
      <c r="AD44" s="16">
        <v>62</v>
      </c>
      <c r="AE44" s="16">
        <v>46</v>
      </c>
      <c r="AF44" s="16">
        <v>43</v>
      </c>
      <c r="AG44" s="16">
        <v>56</v>
      </c>
      <c r="AH44" s="17">
        <f t="shared" si="1"/>
        <v>1556</v>
      </c>
    </row>
    <row r="45" spans="1:34" x14ac:dyDescent="0.3">
      <c r="A45" s="15" t="s">
        <v>319</v>
      </c>
      <c r="B45" s="15" t="s">
        <v>320</v>
      </c>
      <c r="C45" s="16">
        <v>52</v>
      </c>
      <c r="D45" s="16">
        <v>0</v>
      </c>
      <c r="E45" s="16">
        <v>43</v>
      </c>
      <c r="F45" s="16">
        <v>56</v>
      </c>
      <c r="G45" s="16">
        <v>41</v>
      </c>
      <c r="H45" s="16">
        <v>53</v>
      </c>
      <c r="I45" s="16">
        <v>50</v>
      </c>
      <c r="J45" s="16">
        <v>62</v>
      </c>
      <c r="K45" s="16">
        <v>0</v>
      </c>
      <c r="L45" s="16">
        <v>0</v>
      </c>
      <c r="M45" s="16">
        <v>74</v>
      </c>
      <c r="N45" s="16">
        <v>43</v>
      </c>
      <c r="O45" s="16">
        <v>61</v>
      </c>
      <c r="P45" s="16">
        <v>53</v>
      </c>
      <c r="Q45" s="16">
        <v>60</v>
      </c>
      <c r="R45" s="16">
        <v>73</v>
      </c>
      <c r="S45" s="16">
        <v>66</v>
      </c>
      <c r="T45" s="16">
        <v>42</v>
      </c>
      <c r="U45" s="16">
        <v>0</v>
      </c>
      <c r="V45" s="16">
        <v>71</v>
      </c>
      <c r="W45" s="16">
        <v>60</v>
      </c>
      <c r="X45" s="16">
        <v>47</v>
      </c>
      <c r="Y45" s="16">
        <v>61</v>
      </c>
      <c r="Z45" s="16">
        <v>57</v>
      </c>
      <c r="AA45" s="16">
        <v>73</v>
      </c>
      <c r="AB45" s="16">
        <v>0</v>
      </c>
      <c r="AC45" s="16">
        <v>56</v>
      </c>
      <c r="AD45" s="16">
        <v>68</v>
      </c>
      <c r="AE45" s="16">
        <v>69</v>
      </c>
      <c r="AF45" s="16">
        <v>74</v>
      </c>
      <c r="AG45" s="16">
        <v>43</v>
      </c>
      <c r="AH45" s="17">
        <f t="shared" si="1"/>
        <v>1508</v>
      </c>
    </row>
    <row r="46" spans="1:34" x14ac:dyDescent="0.3">
      <c r="A46" s="15" t="s">
        <v>322</v>
      </c>
      <c r="B46" s="15" t="s">
        <v>323</v>
      </c>
      <c r="C46" s="16">
        <v>53</v>
      </c>
      <c r="D46" s="16">
        <v>0</v>
      </c>
      <c r="E46" s="16">
        <v>53</v>
      </c>
      <c r="F46" s="16">
        <v>55</v>
      </c>
      <c r="G46" s="16">
        <v>43</v>
      </c>
      <c r="H46" s="16">
        <v>0</v>
      </c>
      <c r="I46" s="16">
        <v>50</v>
      </c>
      <c r="J46" s="16">
        <v>0</v>
      </c>
      <c r="K46" s="16">
        <v>48</v>
      </c>
      <c r="L46" s="16">
        <v>52</v>
      </c>
      <c r="M46" s="16">
        <v>49</v>
      </c>
      <c r="N46" s="16">
        <v>58</v>
      </c>
      <c r="O46" s="16">
        <v>64</v>
      </c>
      <c r="P46" s="16">
        <v>59</v>
      </c>
      <c r="Q46" s="16">
        <v>40</v>
      </c>
      <c r="R46" s="16">
        <v>41</v>
      </c>
      <c r="S46" s="16">
        <v>60</v>
      </c>
      <c r="T46" s="16">
        <v>48</v>
      </c>
      <c r="U46" s="16">
        <v>62</v>
      </c>
      <c r="V46" s="16">
        <v>60</v>
      </c>
      <c r="W46" s="16">
        <v>0</v>
      </c>
      <c r="X46" s="16">
        <v>68</v>
      </c>
      <c r="Y46" s="16">
        <v>0</v>
      </c>
      <c r="Z46" s="16">
        <v>67</v>
      </c>
      <c r="AA46" s="16">
        <v>49</v>
      </c>
      <c r="AB46" s="16">
        <v>57</v>
      </c>
      <c r="AC46" s="16">
        <v>43</v>
      </c>
      <c r="AD46" s="16">
        <v>50</v>
      </c>
      <c r="AE46" s="16">
        <v>70</v>
      </c>
      <c r="AF46" s="16">
        <v>61</v>
      </c>
      <c r="AG46" s="16">
        <v>51</v>
      </c>
      <c r="AH46" s="17">
        <f t="shared" si="1"/>
        <v>1411</v>
      </c>
    </row>
    <row r="47" spans="1:34" x14ac:dyDescent="0.3">
      <c r="A47" s="15" t="s">
        <v>325</v>
      </c>
      <c r="B47" s="15" t="s">
        <v>326</v>
      </c>
      <c r="C47" s="16">
        <v>48</v>
      </c>
      <c r="D47" s="16">
        <v>50</v>
      </c>
      <c r="E47" s="16">
        <v>0</v>
      </c>
      <c r="F47" s="16">
        <v>42</v>
      </c>
      <c r="G47" s="16">
        <v>36</v>
      </c>
      <c r="H47" s="16">
        <v>52</v>
      </c>
      <c r="I47" s="16">
        <v>59</v>
      </c>
      <c r="J47" s="16">
        <v>60</v>
      </c>
      <c r="K47" s="16">
        <v>58</v>
      </c>
      <c r="L47" s="16">
        <v>0</v>
      </c>
      <c r="M47" s="16">
        <v>35</v>
      </c>
      <c r="N47" s="16">
        <v>51</v>
      </c>
      <c r="O47" s="16">
        <v>47</v>
      </c>
      <c r="P47" s="16">
        <v>33</v>
      </c>
      <c r="Q47" s="16">
        <v>41</v>
      </c>
      <c r="R47" s="16">
        <v>59</v>
      </c>
      <c r="S47" s="16">
        <v>42</v>
      </c>
      <c r="T47" s="16">
        <v>54</v>
      </c>
      <c r="U47" s="16">
        <v>38</v>
      </c>
      <c r="V47" s="16">
        <v>0</v>
      </c>
      <c r="W47" s="16">
        <v>60</v>
      </c>
      <c r="X47" s="16">
        <v>37</v>
      </c>
      <c r="Y47" s="16">
        <v>0</v>
      </c>
      <c r="Z47" s="16">
        <v>41</v>
      </c>
      <c r="AA47" s="16">
        <v>54</v>
      </c>
      <c r="AB47" s="16">
        <v>46</v>
      </c>
      <c r="AC47" s="16">
        <v>47</v>
      </c>
      <c r="AD47" s="16">
        <v>53</v>
      </c>
      <c r="AE47" s="16">
        <v>47</v>
      </c>
      <c r="AF47" s="16">
        <v>51</v>
      </c>
      <c r="AG47" s="16">
        <v>0</v>
      </c>
      <c r="AH47" s="17">
        <f t="shared" si="1"/>
        <v>1241</v>
      </c>
    </row>
    <row r="48" spans="1:34" x14ac:dyDescent="0.3">
      <c r="A48" s="15" t="s">
        <v>327</v>
      </c>
      <c r="B48" s="15" t="s">
        <v>328</v>
      </c>
      <c r="C48" s="16">
        <v>32</v>
      </c>
      <c r="D48" s="16">
        <v>33</v>
      </c>
      <c r="E48" s="16">
        <v>46</v>
      </c>
      <c r="F48" s="16">
        <v>44</v>
      </c>
      <c r="G48" s="16">
        <v>0</v>
      </c>
      <c r="H48" s="16">
        <v>51</v>
      </c>
      <c r="I48" s="16">
        <v>46</v>
      </c>
      <c r="J48" s="16">
        <v>30</v>
      </c>
      <c r="K48" s="16">
        <v>38</v>
      </c>
      <c r="L48" s="16">
        <v>46</v>
      </c>
      <c r="M48" s="16">
        <v>53</v>
      </c>
      <c r="N48" s="16">
        <v>44</v>
      </c>
      <c r="O48" s="16">
        <v>0</v>
      </c>
      <c r="P48" s="16">
        <v>47</v>
      </c>
      <c r="Q48" s="16">
        <v>48</v>
      </c>
      <c r="R48" s="16">
        <v>34</v>
      </c>
      <c r="S48" s="16">
        <v>35</v>
      </c>
      <c r="T48" s="16">
        <v>52</v>
      </c>
      <c r="U48" s="16">
        <v>48</v>
      </c>
      <c r="V48" s="16">
        <v>0</v>
      </c>
      <c r="W48" s="16">
        <v>51</v>
      </c>
      <c r="X48" s="16">
        <v>33</v>
      </c>
      <c r="Y48" s="16">
        <v>45</v>
      </c>
      <c r="Z48" s="16">
        <v>43</v>
      </c>
      <c r="AA48" s="16">
        <v>0</v>
      </c>
      <c r="AB48" s="16">
        <v>40</v>
      </c>
      <c r="AC48" s="16">
        <v>48</v>
      </c>
      <c r="AD48" s="16">
        <v>48</v>
      </c>
      <c r="AE48" s="16">
        <v>0</v>
      </c>
      <c r="AF48" s="16">
        <v>41</v>
      </c>
      <c r="AG48" s="16">
        <v>39</v>
      </c>
      <c r="AH48" s="17">
        <f t="shared" si="1"/>
        <v>1115</v>
      </c>
    </row>
    <row r="49" spans="1:34" x14ac:dyDescent="0.3">
      <c r="A49" s="15" t="s">
        <v>330</v>
      </c>
      <c r="B49" s="15" t="s">
        <v>331</v>
      </c>
      <c r="C49" s="16">
        <v>33</v>
      </c>
      <c r="D49" s="16">
        <v>36</v>
      </c>
      <c r="E49" s="16">
        <v>45</v>
      </c>
      <c r="F49" s="16">
        <v>51</v>
      </c>
      <c r="G49" s="16">
        <v>43</v>
      </c>
      <c r="H49" s="16">
        <v>0</v>
      </c>
      <c r="I49" s="16">
        <v>0</v>
      </c>
      <c r="J49" s="16">
        <v>32</v>
      </c>
      <c r="K49" s="16">
        <v>51</v>
      </c>
      <c r="L49" s="16">
        <v>51</v>
      </c>
      <c r="M49" s="16">
        <v>36</v>
      </c>
      <c r="N49" s="16">
        <v>48</v>
      </c>
      <c r="O49" s="16">
        <v>36</v>
      </c>
      <c r="P49" s="16">
        <v>52</v>
      </c>
      <c r="Q49" s="16">
        <v>33</v>
      </c>
      <c r="R49" s="16">
        <v>40</v>
      </c>
      <c r="S49" s="16">
        <v>53</v>
      </c>
      <c r="T49" s="16">
        <v>35</v>
      </c>
      <c r="U49" s="16">
        <v>41</v>
      </c>
      <c r="V49" s="16">
        <v>0</v>
      </c>
      <c r="W49" s="16">
        <v>38</v>
      </c>
      <c r="X49" s="16">
        <v>30</v>
      </c>
      <c r="Y49" s="16">
        <v>31</v>
      </c>
      <c r="Z49" s="16">
        <v>42</v>
      </c>
      <c r="AA49" s="16">
        <v>35</v>
      </c>
      <c r="AB49" s="16">
        <v>0</v>
      </c>
      <c r="AC49" s="16">
        <v>0</v>
      </c>
      <c r="AD49" s="16">
        <v>54</v>
      </c>
      <c r="AE49" s="16">
        <v>39</v>
      </c>
      <c r="AF49" s="16">
        <v>30</v>
      </c>
      <c r="AG49" s="16">
        <v>53</v>
      </c>
      <c r="AH49" s="17">
        <f t="shared" si="1"/>
        <v>1068</v>
      </c>
    </row>
    <row r="50" spans="1:34" x14ac:dyDescent="0.3">
      <c r="A50" s="15" t="s">
        <v>333</v>
      </c>
      <c r="B50" s="15" t="s">
        <v>334</v>
      </c>
      <c r="C50" s="16">
        <v>27</v>
      </c>
      <c r="D50" s="16">
        <v>25</v>
      </c>
      <c r="E50" s="16">
        <v>43</v>
      </c>
      <c r="F50" s="16">
        <v>34</v>
      </c>
      <c r="G50" s="16">
        <v>41</v>
      </c>
      <c r="H50" s="16">
        <v>40</v>
      </c>
      <c r="I50" s="16">
        <v>34</v>
      </c>
      <c r="J50" s="16">
        <v>37</v>
      </c>
      <c r="K50" s="16">
        <v>43</v>
      </c>
      <c r="L50" s="16">
        <v>24</v>
      </c>
      <c r="M50" s="16">
        <v>0</v>
      </c>
      <c r="N50" s="16">
        <v>29</v>
      </c>
      <c r="O50" s="16">
        <v>27</v>
      </c>
      <c r="P50" s="16">
        <v>44</v>
      </c>
      <c r="Q50" s="16">
        <v>37</v>
      </c>
      <c r="R50" s="16">
        <v>33</v>
      </c>
      <c r="S50" s="16">
        <v>40</v>
      </c>
      <c r="T50" s="16">
        <v>29</v>
      </c>
      <c r="U50" s="16">
        <v>27</v>
      </c>
      <c r="V50" s="16">
        <v>29</v>
      </c>
      <c r="W50" s="16">
        <v>0</v>
      </c>
      <c r="X50" s="16">
        <v>37</v>
      </c>
      <c r="Y50" s="16">
        <v>0</v>
      </c>
      <c r="Z50" s="16">
        <v>37</v>
      </c>
      <c r="AA50" s="16">
        <v>25</v>
      </c>
      <c r="AB50" s="16">
        <v>0</v>
      </c>
      <c r="AC50" s="16">
        <v>0</v>
      </c>
      <c r="AD50" s="16">
        <v>41</v>
      </c>
      <c r="AE50" s="16">
        <v>34</v>
      </c>
      <c r="AF50" s="16">
        <v>35</v>
      </c>
      <c r="AG50" s="16">
        <v>37</v>
      </c>
      <c r="AH50" s="17">
        <f t="shared" si="1"/>
        <v>889</v>
      </c>
    </row>
    <row r="51" spans="1:34" x14ac:dyDescent="0.3">
      <c r="A51" s="15" t="s">
        <v>336</v>
      </c>
      <c r="B51" s="15" t="s">
        <v>337</v>
      </c>
      <c r="C51" s="16">
        <v>15</v>
      </c>
      <c r="D51" s="16">
        <v>16</v>
      </c>
      <c r="E51" s="16">
        <v>13</v>
      </c>
      <c r="F51" s="16">
        <v>14</v>
      </c>
      <c r="G51" s="16">
        <v>0</v>
      </c>
      <c r="H51" s="16">
        <v>17</v>
      </c>
      <c r="I51" s="16">
        <v>11</v>
      </c>
      <c r="J51" s="16">
        <v>0</v>
      </c>
      <c r="K51" s="16">
        <v>20</v>
      </c>
      <c r="L51" s="16">
        <v>0</v>
      </c>
      <c r="M51" s="16">
        <v>11</v>
      </c>
      <c r="N51" s="16">
        <v>16</v>
      </c>
      <c r="O51" s="16">
        <v>15</v>
      </c>
      <c r="P51" s="16">
        <v>20</v>
      </c>
      <c r="Q51" s="16">
        <v>16</v>
      </c>
      <c r="R51" s="16">
        <v>14</v>
      </c>
      <c r="S51" s="16">
        <v>15</v>
      </c>
      <c r="T51" s="16">
        <v>17</v>
      </c>
      <c r="U51" s="16">
        <v>0</v>
      </c>
      <c r="V51" s="16">
        <v>20</v>
      </c>
      <c r="W51" s="16">
        <v>13</v>
      </c>
      <c r="X51" s="16">
        <v>11</v>
      </c>
      <c r="Y51" s="16">
        <v>0</v>
      </c>
      <c r="Z51" s="16">
        <v>18</v>
      </c>
      <c r="AA51" s="16">
        <v>14</v>
      </c>
      <c r="AB51" s="16">
        <v>17</v>
      </c>
      <c r="AC51" s="16">
        <v>16</v>
      </c>
      <c r="AD51" s="16">
        <v>18</v>
      </c>
      <c r="AE51" s="16">
        <v>17</v>
      </c>
      <c r="AF51" s="16">
        <v>14</v>
      </c>
      <c r="AG51" s="16">
        <v>11</v>
      </c>
      <c r="AH51" s="17">
        <f t="shared" si="1"/>
        <v>399</v>
      </c>
    </row>
    <row r="52" spans="1:34" x14ac:dyDescent="0.3">
      <c r="A52" s="15" t="s">
        <v>339</v>
      </c>
      <c r="B52" s="15" t="s">
        <v>340</v>
      </c>
      <c r="C52" s="16">
        <v>16</v>
      </c>
      <c r="D52" s="16">
        <v>14</v>
      </c>
      <c r="E52" s="16">
        <v>17</v>
      </c>
      <c r="F52" s="16">
        <v>13</v>
      </c>
      <c r="G52" s="16">
        <v>11</v>
      </c>
      <c r="H52" s="16">
        <v>0</v>
      </c>
      <c r="I52" s="16">
        <v>10</v>
      </c>
      <c r="J52" s="16">
        <v>15</v>
      </c>
      <c r="K52" s="16">
        <v>16</v>
      </c>
      <c r="L52" s="16">
        <v>9</v>
      </c>
      <c r="M52" s="16">
        <v>0</v>
      </c>
      <c r="N52" s="16">
        <v>11</v>
      </c>
      <c r="O52" s="16">
        <v>15</v>
      </c>
      <c r="P52" s="16">
        <v>16</v>
      </c>
      <c r="Q52" s="16">
        <v>12</v>
      </c>
      <c r="R52" s="16">
        <v>12</v>
      </c>
      <c r="S52" s="16">
        <v>12</v>
      </c>
      <c r="T52" s="16">
        <v>0</v>
      </c>
      <c r="U52" s="16">
        <v>15</v>
      </c>
      <c r="V52" s="16">
        <v>13</v>
      </c>
      <c r="W52" s="16">
        <v>0</v>
      </c>
      <c r="X52" s="16">
        <v>9</v>
      </c>
      <c r="Y52" s="16">
        <v>14</v>
      </c>
      <c r="Z52" s="16">
        <v>11</v>
      </c>
      <c r="AA52" s="16">
        <v>16</v>
      </c>
      <c r="AB52" s="16">
        <v>9</v>
      </c>
      <c r="AC52" s="16">
        <v>0</v>
      </c>
      <c r="AD52" s="16">
        <v>14</v>
      </c>
      <c r="AE52" s="16">
        <v>11</v>
      </c>
      <c r="AF52" s="16">
        <v>15</v>
      </c>
      <c r="AG52" s="16">
        <v>12</v>
      </c>
      <c r="AH52" s="17">
        <f t="shared" si="1"/>
        <v>338</v>
      </c>
    </row>
    <row r="53" spans="1:34" x14ac:dyDescent="0.3">
      <c r="A53" s="15" t="s">
        <v>342</v>
      </c>
      <c r="B53" s="15" t="s">
        <v>343</v>
      </c>
      <c r="C53" s="16">
        <v>3888</v>
      </c>
      <c r="D53" s="16">
        <v>5357</v>
      </c>
      <c r="E53" s="16">
        <v>4162</v>
      </c>
      <c r="F53" s="16">
        <v>4165</v>
      </c>
      <c r="G53" s="16">
        <v>5233</v>
      </c>
      <c r="H53" s="16">
        <v>4220</v>
      </c>
      <c r="I53" s="16">
        <v>4925</v>
      </c>
      <c r="J53" s="16">
        <v>4740</v>
      </c>
      <c r="K53" s="16">
        <v>3117</v>
      </c>
      <c r="L53" s="16">
        <v>4428</v>
      </c>
      <c r="M53" s="16">
        <v>4978</v>
      </c>
      <c r="N53" s="16">
        <v>4285</v>
      </c>
      <c r="O53" s="16">
        <v>0</v>
      </c>
      <c r="P53" s="16">
        <v>3724</v>
      </c>
      <c r="Q53" s="16">
        <v>0</v>
      </c>
      <c r="R53" s="16">
        <v>3120</v>
      </c>
      <c r="S53" s="16">
        <v>4574</v>
      </c>
      <c r="T53" s="16">
        <v>3687</v>
      </c>
      <c r="U53" s="16">
        <v>4428</v>
      </c>
      <c r="V53" s="16">
        <v>3986</v>
      </c>
      <c r="W53" s="16">
        <v>4646</v>
      </c>
      <c r="X53" s="16">
        <v>3800</v>
      </c>
      <c r="Y53" s="16">
        <v>3026</v>
      </c>
      <c r="Z53" s="16">
        <v>0</v>
      </c>
      <c r="AA53" s="16">
        <v>5097</v>
      </c>
      <c r="AB53" s="16">
        <v>3802</v>
      </c>
      <c r="AC53" s="16">
        <v>5418</v>
      </c>
      <c r="AD53" s="16">
        <v>3607</v>
      </c>
      <c r="AE53" s="16">
        <v>0</v>
      </c>
      <c r="AF53" s="16">
        <v>5373</v>
      </c>
      <c r="AG53" s="16">
        <v>0</v>
      </c>
      <c r="AH53" s="17">
        <f t="shared" si="1"/>
        <v>111786</v>
      </c>
    </row>
    <row r="54" spans="1:34" x14ac:dyDescent="0.3">
      <c r="A54" s="15" t="s">
        <v>345</v>
      </c>
      <c r="B54" s="15" t="s">
        <v>346</v>
      </c>
      <c r="C54" s="16">
        <v>627</v>
      </c>
      <c r="D54" s="16">
        <v>0</v>
      </c>
      <c r="E54" s="16">
        <v>0</v>
      </c>
      <c r="F54" s="16">
        <v>670</v>
      </c>
      <c r="G54" s="16">
        <v>764</v>
      </c>
      <c r="H54" s="16">
        <v>529</v>
      </c>
      <c r="I54" s="16">
        <v>478</v>
      </c>
      <c r="J54" s="16">
        <v>804</v>
      </c>
      <c r="K54" s="16">
        <v>736</v>
      </c>
      <c r="L54" s="16">
        <v>640</v>
      </c>
      <c r="M54" s="16">
        <v>516</v>
      </c>
      <c r="N54" s="16">
        <v>559</v>
      </c>
      <c r="O54" s="16">
        <v>722</v>
      </c>
      <c r="P54" s="16">
        <v>610</v>
      </c>
      <c r="Q54" s="16">
        <v>844</v>
      </c>
      <c r="R54" s="16">
        <v>478</v>
      </c>
      <c r="S54" s="16">
        <v>526</v>
      </c>
      <c r="T54" s="16">
        <v>645</v>
      </c>
      <c r="U54" s="16">
        <v>613</v>
      </c>
      <c r="V54" s="16">
        <v>642</v>
      </c>
      <c r="W54" s="16">
        <v>0</v>
      </c>
      <c r="X54" s="16">
        <v>0</v>
      </c>
      <c r="Y54" s="16">
        <v>496</v>
      </c>
      <c r="Z54" s="16">
        <v>520</v>
      </c>
      <c r="AA54" s="16">
        <v>611</v>
      </c>
      <c r="AB54" s="16">
        <v>591</v>
      </c>
      <c r="AC54" s="16">
        <v>576</v>
      </c>
      <c r="AD54" s="16">
        <v>848</v>
      </c>
      <c r="AE54" s="16">
        <v>476</v>
      </c>
      <c r="AF54" s="16">
        <v>539</v>
      </c>
      <c r="AG54" s="16">
        <v>0</v>
      </c>
      <c r="AH54" s="17">
        <f t="shared" si="1"/>
        <v>16060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I9"/>
  <sheetViews>
    <sheetView workbookViewId="0">
      <selection activeCell="K13" sqref="K13"/>
    </sheetView>
  </sheetViews>
  <sheetFormatPr defaultRowHeight="14.4" x14ac:dyDescent="0.3"/>
  <cols>
    <col min="2" max="3" width="11" customWidth="1"/>
    <col min="4" max="5" width="10" customWidth="1"/>
    <col min="6" max="6" width="7" customWidth="1"/>
    <col min="7" max="8" width="14" customWidth="1"/>
    <col min="9" max="9" width="8" customWidth="1"/>
  </cols>
  <sheetData>
    <row r="4" spans="3:9" ht="28.8" customHeight="1" x14ac:dyDescent="0.3">
      <c r="C4" s="6" t="s">
        <v>181</v>
      </c>
      <c r="D4" s="6" t="s">
        <v>182</v>
      </c>
      <c r="E4" s="6" t="s">
        <v>183</v>
      </c>
      <c r="F4" s="6" t="s">
        <v>184</v>
      </c>
      <c r="G4" s="6" t="s">
        <v>366</v>
      </c>
      <c r="H4" s="6" t="s">
        <v>367</v>
      </c>
      <c r="I4" s="6" t="s">
        <v>368</v>
      </c>
    </row>
    <row r="5" spans="3:9" x14ac:dyDescent="0.3">
      <c r="C5" s="8" t="s">
        <v>187</v>
      </c>
      <c r="D5" s="8">
        <v>244368</v>
      </c>
      <c r="E5" s="8">
        <v>372956</v>
      </c>
      <c r="F5" s="8" t="s">
        <v>369</v>
      </c>
      <c r="G5" s="8">
        <v>64</v>
      </c>
      <c r="H5" s="8">
        <v>512</v>
      </c>
      <c r="I5" s="8">
        <v>728</v>
      </c>
    </row>
    <row r="6" spans="3:9" x14ac:dyDescent="0.3">
      <c r="C6" s="8" t="s">
        <v>185</v>
      </c>
      <c r="D6" s="8" t="s">
        <v>370</v>
      </c>
      <c r="E6" s="8" t="s">
        <v>370</v>
      </c>
      <c r="F6" s="8" t="s">
        <v>371</v>
      </c>
      <c r="G6" s="8">
        <v>0</v>
      </c>
      <c r="H6" s="8" t="s">
        <v>370</v>
      </c>
      <c r="I6" s="8" t="s">
        <v>370</v>
      </c>
    </row>
    <row r="7" spans="3:9" x14ac:dyDescent="0.3">
      <c r="C7" s="8" t="s">
        <v>372</v>
      </c>
      <c r="D7" s="8" t="s">
        <v>370</v>
      </c>
      <c r="E7" s="8" t="s">
        <v>370</v>
      </c>
      <c r="F7" s="8" t="s">
        <v>371</v>
      </c>
      <c r="G7" s="8">
        <v>0</v>
      </c>
      <c r="H7" s="8" t="s">
        <v>370</v>
      </c>
      <c r="I7" s="8" t="s">
        <v>370</v>
      </c>
    </row>
    <row r="8" spans="3:9" x14ac:dyDescent="0.3">
      <c r="C8" s="8" t="s">
        <v>373</v>
      </c>
      <c r="D8" s="8" t="s">
        <v>370</v>
      </c>
      <c r="E8" s="8" t="s">
        <v>370</v>
      </c>
      <c r="F8" s="8" t="s">
        <v>371</v>
      </c>
      <c r="G8" s="8">
        <v>0</v>
      </c>
      <c r="H8" s="8" t="s">
        <v>370</v>
      </c>
      <c r="I8" s="8" t="s">
        <v>370</v>
      </c>
    </row>
    <row r="9" spans="3:9" x14ac:dyDescent="0.3">
      <c r="C9" s="8" t="s">
        <v>374</v>
      </c>
      <c r="D9" s="8" t="s">
        <v>370</v>
      </c>
      <c r="E9" s="8" t="s">
        <v>370</v>
      </c>
      <c r="F9" s="8" t="s">
        <v>371</v>
      </c>
      <c r="G9" s="8" t="s">
        <v>370</v>
      </c>
      <c r="H9" s="8" t="s">
        <v>370</v>
      </c>
      <c r="I9" s="8" t="s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AD67"/>
  <sheetViews>
    <sheetView topLeftCell="A13" workbookViewId="0"/>
  </sheetViews>
  <sheetFormatPr defaultRowHeight="14.4" x14ac:dyDescent="0.3"/>
  <cols>
    <col min="1" max="1" width="10" customWidth="1"/>
    <col min="2" max="2" width="22" customWidth="1"/>
    <col min="3" max="3" width="10" customWidth="1"/>
    <col min="4" max="4" width="14" customWidth="1"/>
    <col min="6" max="6" width="12" customWidth="1"/>
    <col min="7" max="31" width="13" customWidth="1"/>
  </cols>
  <sheetData>
    <row r="4" spans="1:30" x14ac:dyDescent="0.3">
      <c r="A4" s="1" t="s">
        <v>375</v>
      </c>
    </row>
    <row r="5" spans="1:30" ht="86.4" customHeight="1" x14ac:dyDescent="0.3">
      <c r="A5" s="6" t="s">
        <v>376</v>
      </c>
      <c r="B5" s="6" t="s">
        <v>5</v>
      </c>
      <c r="C5" s="6" t="s">
        <v>6</v>
      </c>
      <c r="D5" s="6" t="s">
        <v>377</v>
      </c>
      <c r="G5" s="9" t="s">
        <v>378</v>
      </c>
      <c r="H5" s="9" t="s">
        <v>378</v>
      </c>
      <c r="I5" s="9" t="s">
        <v>352</v>
      </c>
      <c r="J5" s="9" t="s">
        <v>352</v>
      </c>
      <c r="K5" s="9" t="s">
        <v>352</v>
      </c>
      <c r="L5" s="9" t="s">
        <v>352</v>
      </c>
      <c r="M5" s="9" t="s">
        <v>352</v>
      </c>
      <c r="N5" s="9" t="s">
        <v>352</v>
      </c>
      <c r="O5" s="9" t="s">
        <v>353</v>
      </c>
      <c r="P5" s="9" t="s">
        <v>353</v>
      </c>
      <c r="Q5" s="9" t="s">
        <v>353</v>
      </c>
      <c r="R5" s="9" t="s">
        <v>379</v>
      </c>
      <c r="S5" s="9" t="s">
        <v>379</v>
      </c>
      <c r="T5" s="9" t="s">
        <v>379</v>
      </c>
      <c r="U5" s="9" t="s">
        <v>379</v>
      </c>
      <c r="V5" s="9" t="s">
        <v>379</v>
      </c>
      <c r="W5" s="9" t="s">
        <v>379</v>
      </c>
      <c r="X5" s="9" t="s">
        <v>355</v>
      </c>
      <c r="Y5" s="9" t="s">
        <v>355</v>
      </c>
      <c r="Z5" s="9" t="s">
        <v>355</v>
      </c>
      <c r="AA5" s="9" t="s">
        <v>355</v>
      </c>
      <c r="AB5" s="9" t="s">
        <v>355</v>
      </c>
      <c r="AC5" s="9" t="s">
        <v>356</v>
      </c>
      <c r="AD5" s="9" t="s">
        <v>356</v>
      </c>
    </row>
    <row r="6" spans="1:30" ht="43.2" customHeight="1" x14ac:dyDescent="0.3">
      <c r="A6" s="7" t="s">
        <v>77</v>
      </c>
      <c r="B6" s="7" t="s">
        <v>78</v>
      </c>
      <c r="C6" s="7" t="s">
        <v>18</v>
      </c>
      <c r="D6" s="7">
        <v>32</v>
      </c>
      <c r="F6" s="11" t="s">
        <v>187</v>
      </c>
      <c r="G6" s="10" t="s">
        <v>357</v>
      </c>
      <c r="H6" s="10" t="s">
        <v>358</v>
      </c>
      <c r="I6" s="10" t="s">
        <v>357</v>
      </c>
      <c r="J6" s="10" t="s">
        <v>358</v>
      </c>
      <c r="K6" s="10" t="s">
        <v>359</v>
      </c>
      <c r="L6" s="10" t="s">
        <v>360</v>
      </c>
      <c r="M6" s="10" t="s">
        <v>361</v>
      </c>
      <c r="N6" s="10" t="s">
        <v>362</v>
      </c>
      <c r="O6" s="10" t="s">
        <v>358</v>
      </c>
      <c r="P6" s="10" t="s">
        <v>363</v>
      </c>
      <c r="Q6" s="10" t="s">
        <v>362</v>
      </c>
      <c r="R6" s="10" t="s">
        <v>357</v>
      </c>
      <c r="S6" s="10" t="s">
        <v>358</v>
      </c>
      <c r="T6" s="10" t="s">
        <v>359</v>
      </c>
      <c r="U6" s="10" t="s">
        <v>360</v>
      </c>
      <c r="V6" s="10" t="s">
        <v>361</v>
      </c>
      <c r="W6" s="10" t="s">
        <v>362</v>
      </c>
      <c r="X6" s="10" t="s">
        <v>357</v>
      </c>
      <c r="Y6" s="10" t="s">
        <v>359</v>
      </c>
      <c r="Z6" s="10" t="s">
        <v>360</v>
      </c>
      <c r="AA6" s="10" t="s">
        <v>361</v>
      </c>
      <c r="AB6" s="10" t="s">
        <v>362</v>
      </c>
      <c r="AC6" s="10" t="s">
        <v>364</v>
      </c>
      <c r="AD6" s="10" t="s">
        <v>365</v>
      </c>
    </row>
    <row r="7" spans="1:30" ht="28.8" customHeight="1" x14ac:dyDescent="0.3">
      <c r="A7" s="7" t="s">
        <v>122</v>
      </c>
      <c r="B7" s="7" t="s">
        <v>380</v>
      </c>
      <c r="C7" s="7" t="s">
        <v>18</v>
      </c>
      <c r="D7" s="7">
        <v>24</v>
      </c>
      <c r="F7" s="11" t="s">
        <v>381</v>
      </c>
      <c r="G7" s="8" t="s">
        <v>382</v>
      </c>
      <c r="H7" s="8" t="s">
        <v>382</v>
      </c>
      <c r="I7" s="8" t="s">
        <v>382</v>
      </c>
      <c r="J7" s="8" t="s">
        <v>382</v>
      </c>
      <c r="K7" s="8" t="s">
        <v>382</v>
      </c>
      <c r="L7" s="8" t="s">
        <v>382</v>
      </c>
      <c r="M7" s="8" t="s">
        <v>382</v>
      </c>
      <c r="N7" s="8" t="s">
        <v>382</v>
      </c>
      <c r="O7" s="8" t="s">
        <v>382</v>
      </c>
      <c r="P7" s="8" t="s">
        <v>382</v>
      </c>
      <c r="Q7" s="8" t="s">
        <v>382</v>
      </c>
      <c r="R7" s="8" t="s">
        <v>382</v>
      </c>
      <c r="S7" s="8" t="s">
        <v>382</v>
      </c>
      <c r="T7" s="8" t="s">
        <v>382</v>
      </c>
      <c r="U7" s="8" t="s">
        <v>382</v>
      </c>
      <c r="V7" s="8" t="s">
        <v>382</v>
      </c>
      <c r="W7" s="8" t="s">
        <v>382</v>
      </c>
      <c r="X7" s="8" t="s">
        <v>382</v>
      </c>
      <c r="Y7" s="8" t="s">
        <v>382</v>
      </c>
      <c r="Z7" s="8" t="s">
        <v>382</v>
      </c>
      <c r="AA7" s="8" t="s">
        <v>382</v>
      </c>
      <c r="AB7" s="8" t="s">
        <v>382</v>
      </c>
      <c r="AC7" s="8" t="s">
        <v>382</v>
      </c>
      <c r="AD7" s="8" t="s">
        <v>382</v>
      </c>
    </row>
    <row r="8" spans="1:30" x14ac:dyDescent="0.3">
      <c r="A8" s="7" t="s">
        <v>156</v>
      </c>
      <c r="B8" s="7" t="s">
        <v>383</v>
      </c>
      <c r="C8" s="7" t="s">
        <v>84</v>
      </c>
      <c r="D8" s="7">
        <v>24</v>
      </c>
      <c r="F8" s="11" t="s">
        <v>384</v>
      </c>
      <c r="G8" s="8">
        <v>30</v>
      </c>
      <c r="H8" s="8">
        <v>36</v>
      </c>
      <c r="I8" s="8">
        <v>36</v>
      </c>
      <c r="J8" s="8">
        <v>42</v>
      </c>
      <c r="K8" s="8">
        <v>32</v>
      </c>
      <c r="L8" s="8">
        <v>40</v>
      </c>
      <c r="M8" s="8">
        <v>32</v>
      </c>
      <c r="N8" s="8">
        <v>27</v>
      </c>
      <c r="O8" s="8">
        <v>24</v>
      </c>
      <c r="P8" s="8">
        <v>15</v>
      </c>
      <c r="Q8" s="8">
        <v>12</v>
      </c>
      <c r="R8" s="8">
        <v>20</v>
      </c>
      <c r="S8" s="8">
        <v>24</v>
      </c>
      <c r="T8" s="8">
        <v>48</v>
      </c>
      <c r="U8" s="8">
        <v>54</v>
      </c>
      <c r="V8" s="8">
        <v>42</v>
      </c>
      <c r="W8" s="8">
        <v>36</v>
      </c>
      <c r="X8" s="8">
        <v>18</v>
      </c>
      <c r="Y8" s="8">
        <v>42</v>
      </c>
      <c r="Z8" s="8">
        <v>48</v>
      </c>
      <c r="AA8" s="8">
        <v>36</v>
      </c>
      <c r="AB8" s="8">
        <v>30</v>
      </c>
      <c r="AC8" s="8">
        <v>75</v>
      </c>
      <c r="AD8" s="8">
        <v>115</v>
      </c>
    </row>
    <row r="9" spans="1:30" ht="43.2" customHeight="1" x14ac:dyDescent="0.3">
      <c r="A9" s="7" t="s">
        <v>82</v>
      </c>
      <c r="B9" s="7" t="s">
        <v>83</v>
      </c>
      <c r="C9" s="7" t="s">
        <v>18</v>
      </c>
      <c r="D9" s="7">
        <v>23</v>
      </c>
      <c r="G9" s="8" t="s">
        <v>385</v>
      </c>
      <c r="H9" s="8" t="s">
        <v>386</v>
      </c>
      <c r="I9" s="8" t="s">
        <v>387</v>
      </c>
      <c r="J9" s="8" t="s">
        <v>388</v>
      </c>
      <c r="K9" s="8" t="s">
        <v>389</v>
      </c>
      <c r="L9" s="8" t="s">
        <v>389</v>
      </c>
      <c r="M9" s="8" t="s">
        <v>390</v>
      </c>
      <c r="N9" s="8" t="s">
        <v>391</v>
      </c>
      <c r="O9" s="8" t="s">
        <v>392</v>
      </c>
      <c r="P9" s="8" t="s">
        <v>393</v>
      </c>
      <c r="Q9" s="8" t="s">
        <v>394</v>
      </c>
      <c r="R9" s="8" t="s">
        <v>395</v>
      </c>
      <c r="S9" s="8" t="s">
        <v>396</v>
      </c>
      <c r="T9" s="8" t="s">
        <v>397</v>
      </c>
      <c r="U9" s="8" t="s">
        <v>397</v>
      </c>
      <c r="V9" s="8" t="s">
        <v>398</v>
      </c>
      <c r="W9" s="8" t="s">
        <v>399</v>
      </c>
      <c r="X9" s="8" t="s">
        <v>400</v>
      </c>
      <c r="Y9" s="8" t="s">
        <v>401</v>
      </c>
      <c r="Z9" s="8" t="s">
        <v>401</v>
      </c>
      <c r="AA9" s="8" t="s">
        <v>402</v>
      </c>
      <c r="AB9" s="8" t="s">
        <v>399</v>
      </c>
      <c r="AC9" s="8" t="s">
        <v>403</v>
      </c>
      <c r="AD9" s="8" t="s">
        <v>404</v>
      </c>
    </row>
    <row r="10" spans="1:30" x14ac:dyDescent="0.3">
      <c r="A10" s="7" t="s">
        <v>128</v>
      </c>
      <c r="B10" s="7" t="s">
        <v>129</v>
      </c>
      <c r="C10" s="7" t="s">
        <v>84</v>
      </c>
      <c r="D10" s="7">
        <v>23</v>
      </c>
    </row>
    <row r="11" spans="1:30" x14ac:dyDescent="0.3">
      <c r="A11" s="7" t="s">
        <v>142</v>
      </c>
      <c r="B11" s="7"/>
      <c r="C11" s="7"/>
      <c r="D11" s="7">
        <v>22</v>
      </c>
    </row>
    <row r="12" spans="1:30" x14ac:dyDescent="0.3">
      <c r="A12" s="7" t="s">
        <v>126</v>
      </c>
      <c r="B12" s="7" t="s">
        <v>405</v>
      </c>
      <c r="C12" s="7" t="s">
        <v>84</v>
      </c>
      <c r="D12" s="7">
        <v>21</v>
      </c>
      <c r="G12" s="9"/>
      <c r="H12" s="9"/>
      <c r="I12" s="9"/>
      <c r="J12" s="9"/>
    </row>
    <row r="13" spans="1:30" ht="57.6" customHeight="1" x14ac:dyDescent="0.3">
      <c r="A13" s="7" t="s">
        <v>125</v>
      </c>
      <c r="B13" s="7" t="s">
        <v>406</v>
      </c>
      <c r="C13" s="7" t="s">
        <v>84</v>
      </c>
      <c r="D13" s="7">
        <v>21</v>
      </c>
      <c r="F13" s="11" t="s">
        <v>185</v>
      </c>
      <c r="G13" s="10" t="s">
        <v>407</v>
      </c>
      <c r="H13" s="10" t="s">
        <v>408</v>
      </c>
      <c r="I13" s="10" t="s">
        <v>409</v>
      </c>
      <c r="J13" s="10" t="s">
        <v>410</v>
      </c>
    </row>
    <row r="14" spans="1:30" ht="28.8" customHeight="1" x14ac:dyDescent="0.3">
      <c r="A14" s="7" t="s">
        <v>168</v>
      </c>
      <c r="B14" s="7" t="s">
        <v>411</v>
      </c>
      <c r="C14" s="7" t="s">
        <v>18</v>
      </c>
      <c r="D14" s="7">
        <v>17</v>
      </c>
      <c r="F14" s="11" t="s">
        <v>381</v>
      </c>
      <c r="G14" s="8" t="s">
        <v>412</v>
      </c>
      <c r="H14" s="8" t="s">
        <v>412</v>
      </c>
      <c r="I14" s="8" t="s">
        <v>412</v>
      </c>
      <c r="J14" s="8" t="s">
        <v>412</v>
      </c>
    </row>
    <row r="15" spans="1:30" x14ac:dyDescent="0.3">
      <c r="A15" s="7" t="s">
        <v>413</v>
      </c>
      <c r="B15" s="7" t="s">
        <v>414</v>
      </c>
      <c r="C15" s="7" t="s">
        <v>18</v>
      </c>
      <c r="D15" s="7">
        <v>16</v>
      </c>
      <c r="F15" s="11" t="s">
        <v>415</v>
      </c>
      <c r="G15" s="8">
        <v>175</v>
      </c>
      <c r="H15" s="8">
        <v>360</v>
      </c>
      <c r="I15" s="8">
        <v>480</v>
      </c>
      <c r="J15" s="8">
        <v>40</v>
      </c>
    </row>
    <row r="16" spans="1:30" x14ac:dyDescent="0.3">
      <c r="A16" s="7" t="s">
        <v>58</v>
      </c>
      <c r="B16" s="7" t="s">
        <v>60</v>
      </c>
      <c r="C16" s="7" t="s">
        <v>18</v>
      </c>
      <c r="D16" s="7">
        <v>15</v>
      </c>
      <c r="G16" s="8"/>
      <c r="H16" s="8"/>
      <c r="I16" s="8"/>
      <c r="J16" s="8"/>
    </row>
    <row r="17" spans="1:21" x14ac:dyDescent="0.3">
      <c r="A17" s="7" t="s">
        <v>113</v>
      </c>
      <c r="B17" s="7" t="s">
        <v>115</v>
      </c>
      <c r="C17" s="7" t="s">
        <v>18</v>
      </c>
      <c r="D17" s="7">
        <v>14</v>
      </c>
    </row>
    <row r="18" spans="1:21" x14ac:dyDescent="0.3">
      <c r="A18" s="7" t="s">
        <v>40</v>
      </c>
      <c r="B18" s="7" t="s">
        <v>17</v>
      </c>
      <c r="C18" s="7" t="s">
        <v>18</v>
      </c>
      <c r="D18" s="7">
        <v>14</v>
      </c>
    </row>
    <row r="19" spans="1:21" x14ac:dyDescent="0.3">
      <c r="A19" s="7" t="s">
        <v>45</v>
      </c>
      <c r="B19" s="7" t="s">
        <v>416</v>
      </c>
      <c r="C19" s="7" t="s">
        <v>18</v>
      </c>
      <c r="D19" s="7">
        <v>14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43.2" customHeight="1" x14ac:dyDescent="0.3">
      <c r="A20" s="7" t="s">
        <v>65</v>
      </c>
      <c r="B20" s="7" t="s">
        <v>68</v>
      </c>
      <c r="C20" s="7" t="s">
        <v>18</v>
      </c>
      <c r="D20" s="7">
        <v>13</v>
      </c>
      <c r="F20" s="11" t="s">
        <v>372</v>
      </c>
      <c r="G20" s="10" t="s">
        <v>417</v>
      </c>
      <c r="H20" s="10" t="s">
        <v>418</v>
      </c>
      <c r="I20" s="10" t="s">
        <v>419</v>
      </c>
      <c r="J20" s="10" t="s">
        <v>420</v>
      </c>
      <c r="K20" s="10" t="s">
        <v>421</v>
      </c>
      <c r="L20" s="10" t="s">
        <v>422</v>
      </c>
      <c r="M20" s="10" t="s">
        <v>423</v>
      </c>
      <c r="N20" s="10" t="s">
        <v>424</v>
      </c>
      <c r="O20" s="10" t="s">
        <v>425</v>
      </c>
      <c r="P20" s="10" t="s">
        <v>426</v>
      </c>
      <c r="Q20" s="10" t="s">
        <v>427</v>
      </c>
      <c r="R20" s="10" t="s">
        <v>428</v>
      </c>
      <c r="S20" s="10" t="s">
        <v>429</v>
      </c>
      <c r="T20" s="10" t="s">
        <v>430</v>
      </c>
      <c r="U20" s="10" t="s">
        <v>431</v>
      </c>
    </row>
    <row r="21" spans="1:21" ht="28.8" customHeight="1" x14ac:dyDescent="0.3">
      <c r="A21" s="7" t="s">
        <v>80</v>
      </c>
      <c r="B21" s="7" t="s">
        <v>432</v>
      </c>
      <c r="C21" s="7" t="s">
        <v>18</v>
      </c>
      <c r="D21" s="7">
        <v>12</v>
      </c>
      <c r="F21" s="11" t="s">
        <v>381</v>
      </c>
      <c r="G21" s="8" t="s">
        <v>412</v>
      </c>
      <c r="H21" s="8" t="s">
        <v>412</v>
      </c>
      <c r="I21" s="8" t="s">
        <v>412</v>
      </c>
      <c r="J21" s="8" t="s">
        <v>412</v>
      </c>
      <c r="K21" s="8" t="s">
        <v>433</v>
      </c>
      <c r="L21" s="8" t="s">
        <v>433</v>
      </c>
      <c r="M21" s="8" t="s">
        <v>433</v>
      </c>
      <c r="N21" s="8" t="s">
        <v>433</v>
      </c>
      <c r="O21" s="8" t="s">
        <v>433</v>
      </c>
      <c r="P21" s="8" t="s">
        <v>433</v>
      </c>
      <c r="Q21" s="8" t="s">
        <v>433</v>
      </c>
      <c r="R21" s="8" t="s">
        <v>433</v>
      </c>
      <c r="S21" s="8" t="s">
        <v>433</v>
      </c>
      <c r="T21" s="8" t="s">
        <v>433</v>
      </c>
      <c r="U21" s="8" t="s">
        <v>434</v>
      </c>
    </row>
    <row r="22" spans="1:21" x14ac:dyDescent="0.3">
      <c r="A22" s="7" t="s">
        <v>119</v>
      </c>
      <c r="B22" s="7" t="s">
        <v>121</v>
      </c>
      <c r="C22" s="7" t="s">
        <v>18</v>
      </c>
      <c r="D22" s="7">
        <v>12</v>
      </c>
      <c r="F22" s="11" t="s">
        <v>435</v>
      </c>
      <c r="G22" s="8">
        <v>600</v>
      </c>
      <c r="H22" s="8">
        <v>576</v>
      </c>
      <c r="I22" s="8">
        <v>288</v>
      </c>
      <c r="J22" s="8">
        <v>168</v>
      </c>
      <c r="K22" s="8">
        <v>36</v>
      </c>
      <c r="L22" s="8">
        <v>60</v>
      </c>
      <c r="M22" s="8">
        <v>45</v>
      </c>
      <c r="N22" s="8">
        <v>80</v>
      </c>
      <c r="O22" s="8">
        <v>36</v>
      </c>
      <c r="P22" s="8">
        <v>60</v>
      </c>
      <c r="Q22" s="8">
        <v>36</v>
      </c>
      <c r="R22" s="8">
        <v>60</v>
      </c>
      <c r="S22" s="8">
        <v>45</v>
      </c>
      <c r="T22" s="8">
        <v>36</v>
      </c>
      <c r="U22" s="8">
        <v>40</v>
      </c>
    </row>
    <row r="23" spans="1:21" x14ac:dyDescent="0.3">
      <c r="A23" s="7" t="s">
        <v>110</v>
      </c>
      <c r="B23" s="7" t="s">
        <v>111</v>
      </c>
      <c r="C23" s="7" t="s">
        <v>18</v>
      </c>
      <c r="D23" s="7">
        <v>12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x14ac:dyDescent="0.3">
      <c r="A24" s="7" t="s">
        <v>140</v>
      </c>
      <c r="B24" s="7" t="s">
        <v>436</v>
      </c>
      <c r="C24" s="7" t="s">
        <v>18</v>
      </c>
      <c r="D24" s="7">
        <v>12</v>
      </c>
    </row>
    <row r="25" spans="1:21" x14ac:dyDescent="0.3">
      <c r="A25" s="7" t="s">
        <v>75</v>
      </c>
      <c r="B25" s="7" t="s">
        <v>76</v>
      </c>
      <c r="C25" s="7" t="s">
        <v>18</v>
      </c>
      <c r="D25" s="7">
        <v>12</v>
      </c>
    </row>
    <row r="26" spans="1:21" x14ac:dyDescent="0.3">
      <c r="A26" s="7" t="s">
        <v>158</v>
      </c>
      <c r="B26" s="7" t="s">
        <v>437</v>
      </c>
      <c r="C26" s="7" t="s">
        <v>18</v>
      </c>
      <c r="D26" s="7">
        <v>12</v>
      </c>
    </row>
    <row r="27" spans="1:21" x14ac:dyDescent="0.3">
      <c r="A27" s="7" t="s">
        <v>32</v>
      </c>
      <c r="B27" s="7" t="s">
        <v>438</v>
      </c>
      <c r="C27" s="7" t="s">
        <v>18</v>
      </c>
      <c r="D27" s="7">
        <v>12</v>
      </c>
    </row>
    <row r="28" spans="1:21" x14ac:dyDescent="0.3">
      <c r="A28" s="7" t="s">
        <v>62</v>
      </c>
      <c r="B28" s="7" t="s">
        <v>64</v>
      </c>
      <c r="C28" s="7" t="s">
        <v>18</v>
      </c>
      <c r="D28" s="7">
        <v>12</v>
      </c>
    </row>
    <row r="29" spans="1:21" x14ac:dyDescent="0.3">
      <c r="A29" s="7" t="s">
        <v>71</v>
      </c>
      <c r="B29" s="7" t="s">
        <v>74</v>
      </c>
      <c r="C29" s="7" t="s">
        <v>18</v>
      </c>
      <c r="D29" s="7">
        <v>11</v>
      </c>
    </row>
    <row r="30" spans="1:21" x14ac:dyDescent="0.3">
      <c r="A30" s="7" t="s">
        <v>161</v>
      </c>
      <c r="B30" s="7" t="s">
        <v>162</v>
      </c>
      <c r="C30" s="7" t="s">
        <v>18</v>
      </c>
      <c r="D30" s="7">
        <v>11</v>
      </c>
    </row>
    <row r="31" spans="1:21" x14ac:dyDescent="0.3">
      <c r="A31" s="7" t="s">
        <v>138</v>
      </c>
      <c r="B31" s="7" t="s">
        <v>139</v>
      </c>
      <c r="C31" s="7" t="s">
        <v>18</v>
      </c>
      <c r="D31" s="7">
        <v>11</v>
      </c>
    </row>
    <row r="32" spans="1:21" x14ac:dyDescent="0.3">
      <c r="A32" s="7" t="s">
        <v>85</v>
      </c>
      <c r="B32" s="7" t="s">
        <v>88</v>
      </c>
      <c r="C32" s="7" t="s">
        <v>18</v>
      </c>
      <c r="D32" s="7">
        <v>11</v>
      </c>
    </row>
    <row r="33" spans="1:4" x14ac:dyDescent="0.3">
      <c r="A33" s="7" t="s">
        <v>51</v>
      </c>
      <c r="B33" s="7" t="s">
        <v>439</v>
      </c>
      <c r="C33" s="7" t="s">
        <v>18</v>
      </c>
      <c r="D33" s="7">
        <v>11</v>
      </c>
    </row>
    <row r="34" spans="1:4" x14ac:dyDescent="0.3">
      <c r="A34" s="7" t="s">
        <v>94</v>
      </c>
      <c r="B34" s="7" t="s">
        <v>97</v>
      </c>
      <c r="C34" s="7" t="s">
        <v>18</v>
      </c>
      <c r="D34" s="7">
        <v>11</v>
      </c>
    </row>
    <row r="35" spans="1:4" x14ac:dyDescent="0.3">
      <c r="A35" s="7" t="s">
        <v>440</v>
      </c>
      <c r="B35" s="7" t="s">
        <v>17</v>
      </c>
      <c r="C35" s="7" t="s">
        <v>18</v>
      </c>
      <c r="D35" s="7">
        <v>11</v>
      </c>
    </row>
    <row r="36" spans="1:4" x14ac:dyDescent="0.3">
      <c r="A36" s="7" t="s">
        <v>151</v>
      </c>
      <c r="B36" s="7" t="s">
        <v>441</v>
      </c>
      <c r="C36" s="7" t="s">
        <v>18</v>
      </c>
      <c r="D36" s="7">
        <v>11</v>
      </c>
    </row>
    <row r="37" spans="1:4" x14ac:dyDescent="0.3">
      <c r="A37" s="7" t="s">
        <v>157</v>
      </c>
      <c r="B37" s="7" t="s">
        <v>383</v>
      </c>
      <c r="C37" s="7" t="s">
        <v>18</v>
      </c>
      <c r="D37" s="7">
        <v>11</v>
      </c>
    </row>
    <row r="38" spans="1:4" x14ac:dyDescent="0.3">
      <c r="A38" s="7" t="s">
        <v>107</v>
      </c>
      <c r="B38" s="7" t="s">
        <v>109</v>
      </c>
      <c r="C38" s="7" t="s">
        <v>18</v>
      </c>
      <c r="D38" s="7">
        <v>11</v>
      </c>
    </row>
    <row r="39" spans="1:4" x14ac:dyDescent="0.3">
      <c r="A39" s="7" t="s">
        <v>174</v>
      </c>
      <c r="B39" s="7" t="s">
        <v>176</v>
      </c>
      <c r="C39" s="7" t="s">
        <v>18</v>
      </c>
      <c r="D39" s="7">
        <v>11</v>
      </c>
    </row>
    <row r="40" spans="1:4" x14ac:dyDescent="0.3">
      <c r="A40" s="7" t="s">
        <v>89</v>
      </c>
      <c r="B40" s="7" t="s">
        <v>90</v>
      </c>
      <c r="C40" s="7" t="s">
        <v>18</v>
      </c>
      <c r="D40" s="7">
        <v>10</v>
      </c>
    </row>
    <row r="41" spans="1:4" x14ac:dyDescent="0.3">
      <c r="A41" s="7" t="s">
        <v>442</v>
      </c>
      <c r="B41" s="7"/>
      <c r="C41" s="7"/>
      <c r="D41" s="7">
        <v>10</v>
      </c>
    </row>
    <row r="42" spans="1:4" x14ac:dyDescent="0.3">
      <c r="A42" s="7" t="s">
        <v>170</v>
      </c>
      <c r="B42" s="7" t="s">
        <v>443</v>
      </c>
      <c r="C42" s="7" t="s">
        <v>444</v>
      </c>
      <c r="D42" s="7">
        <v>10</v>
      </c>
    </row>
    <row r="43" spans="1:4" x14ac:dyDescent="0.3">
      <c r="A43" s="7" t="s">
        <v>445</v>
      </c>
      <c r="B43" s="7" t="s">
        <v>414</v>
      </c>
      <c r="C43" s="7" t="s">
        <v>18</v>
      </c>
      <c r="D43" s="7">
        <v>10</v>
      </c>
    </row>
    <row r="44" spans="1:4" x14ac:dyDescent="0.3">
      <c r="A44" s="7" t="s">
        <v>446</v>
      </c>
      <c r="B44" s="7" t="s">
        <v>447</v>
      </c>
      <c r="C44" s="7" t="s">
        <v>18</v>
      </c>
      <c r="D44" s="7">
        <v>10</v>
      </c>
    </row>
    <row r="45" spans="1:4" x14ac:dyDescent="0.3">
      <c r="A45" s="7" t="s">
        <v>448</v>
      </c>
      <c r="B45" s="7" t="s">
        <v>26</v>
      </c>
      <c r="C45" s="7" t="s">
        <v>18</v>
      </c>
      <c r="D45" s="7">
        <v>9</v>
      </c>
    </row>
    <row r="46" spans="1:4" x14ac:dyDescent="0.3">
      <c r="A46" s="7" t="s">
        <v>164</v>
      </c>
      <c r="B46" s="7" t="s">
        <v>449</v>
      </c>
      <c r="C46" s="7" t="s">
        <v>18</v>
      </c>
      <c r="D46" s="7">
        <v>9</v>
      </c>
    </row>
    <row r="47" spans="1:4" x14ac:dyDescent="0.3">
      <c r="A47" s="7" t="s">
        <v>165</v>
      </c>
      <c r="B47" s="7" t="s">
        <v>450</v>
      </c>
      <c r="C47" s="7" t="s">
        <v>18</v>
      </c>
      <c r="D47" s="7">
        <v>9</v>
      </c>
    </row>
    <row r="48" spans="1:4" x14ac:dyDescent="0.3">
      <c r="A48" s="7" t="s">
        <v>451</v>
      </c>
      <c r="B48" s="7"/>
      <c r="C48" s="7"/>
      <c r="D48" s="7">
        <v>9</v>
      </c>
    </row>
    <row r="49" spans="1:4" x14ac:dyDescent="0.3">
      <c r="A49" s="7" t="s">
        <v>136</v>
      </c>
      <c r="B49" s="7" t="s">
        <v>452</v>
      </c>
      <c r="C49" s="7" t="s">
        <v>18</v>
      </c>
      <c r="D49" s="7">
        <v>9</v>
      </c>
    </row>
    <row r="50" spans="1:4" x14ac:dyDescent="0.3">
      <c r="A50" s="7" t="s">
        <v>103</v>
      </c>
      <c r="B50" s="7" t="s">
        <v>453</v>
      </c>
      <c r="C50" s="7" t="s">
        <v>18</v>
      </c>
      <c r="D50" s="7">
        <v>9</v>
      </c>
    </row>
    <row r="51" spans="1:4" x14ac:dyDescent="0.3">
      <c r="A51" s="7" t="s">
        <v>117</v>
      </c>
      <c r="B51" s="7" t="s">
        <v>118</v>
      </c>
      <c r="C51" s="7" t="s">
        <v>18</v>
      </c>
      <c r="D51" s="7">
        <v>9</v>
      </c>
    </row>
    <row r="52" spans="1:4" x14ac:dyDescent="0.3">
      <c r="A52" s="7" t="s">
        <v>454</v>
      </c>
      <c r="B52" s="7" t="s">
        <v>455</v>
      </c>
      <c r="C52" s="7" t="s">
        <v>18</v>
      </c>
      <c r="D52" s="7">
        <v>8</v>
      </c>
    </row>
    <row r="53" spans="1:4" x14ac:dyDescent="0.3">
      <c r="A53" s="7" t="s">
        <v>153</v>
      </c>
      <c r="B53" s="7" t="s">
        <v>456</v>
      </c>
      <c r="C53" s="7" t="s">
        <v>18</v>
      </c>
      <c r="D53" s="7">
        <v>8</v>
      </c>
    </row>
    <row r="54" spans="1:4" x14ac:dyDescent="0.3">
      <c r="A54" s="7" t="s">
        <v>148</v>
      </c>
      <c r="B54" s="7" t="s">
        <v>457</v>
      </c>
      <c r="C54" s="7" t="s">
        <v>18</v>
      </c>
      <c r="D54" s="7">
        <v>8</v>
      </c>
    </row>
    <row r="55" spans="1:4" x14ac:dyDescent="0.3">
      <c r="A55" s="7" t="s">
        <v>116</v>
      </c>
      <c r="B55" s="7" t="s">
        <v>56</v>
      </c>
      <c r="C55" s="7" t="s">
        <v>18</v>
      </c>
      <c r="D55" s="7">
        <v>8</v>
      </c>
    </row>
    <row r="56" spans="1:4" x14ac:dyDescent="0.3">
      <c r="A56" s="7" t="s">
        <v>106</v>
      </c>
      <c r="B56" s="7" t="s">
        <v>60</v>
      </c>
      <c r="C56" s="7" t="s">
        <v>18</v>
      </c>
      <c r="D56" s="7">
        <v>8</v>
      </c>
    </row>
    <row r="57" spans="1:4" x14ac:dyDescent="0.3">
      <c r="A57" s="7" t="s">
        <v>458</v>
      </c>
      <c r="B57" s="7" t="s">
        <v>31</v>
      </c>
      <c r="C57" s="7" t="s">
        <v>18</v>
      </c>
      <c r="D57" s="7">
        <v>8</v>
      </c>
    </row>
    <row r="58" spans="1:4" x14ac:dyDescent="0.3">
      <c r="A58" s="7" t="s">
        <v>42</v>
      </c>
      <c r="B58" s="7" t="s">
        <v>459</v>
      </c>
      <c r="C58" s="7" t="s">
        <v>18</v>
      </c>
      <c r="D58" s="7">
        <v>8</v>
      </c>
    </row>
    <row r="59" spans="1:4" x14ac:dyDescent="0.3">
      <c r="A59" s="7" t="s">
        <v>47</v>
      </c>
      <c r="B59" s="7" t="s">
        <v>460</v>
      </c>
      <c r="C59" s="7" t="s">
        <v>18</v>
      </c>
      <c r="D59" s="7">
        <v>8</v>
      </c>
    </row>
    <row r="60" spans="1:4" x14ac:dyDescent="0.3">
      <c r="A60" s="7" t="s">
        <v>92</v>
      </c>
      <c r="B60" s="7" t="s">
        <v>93</v>
      </c>
      <c r="C60" s="7" t="s">
        <v>18</v>
      </c>
      <c r="D60" s="7">
        <v>7</v>
      </c>
    </row>
    <row r="61" spans="1:4" x14ac:dyDescent="0.3">
      <c r="A61" s="7" t="s">
        <v>69</v>
      </c>
      <c r="B61" s="7" t="s">
        <v>70</v>
      </c>
      <c r="C61" s="7" t="s">
        <v>18</v>
      </c>
      <c r="D61" s="7">
        <v>7</v>
      </c>
    </row>
    <row r="62" spans="1:4" x14ac:dyDescent="0.3">
      <c r="A62" s="7" t="s">
        <v>100</v>
      </c>
      <c r="B62" s="7" t="s">
        <v>102</v>
      </c>
      <c r="C62" s="7" t="s">
        <v>18</v>
      </c>
      <c r="D62" s="7">
        <v>7</v>
      </c>
    </row>
    <row r="63" spans="1:4" x14ac:dyDescent="0.3">
      <c r="A63" s="7" t="s">
        <v>36</v>
      </c>
      <c r="B63" s="7" t="s">
        <v>38</v>
      </c>
      <c r="C63" s="7" t="s">
        <v>18</v>
      </c>
      <c r="D63" s="7">
        <v>6</v>
      </c>
    </row>
    <row r="64" spans="1:4" x14ac:dyDescent="0.3">
      <c r="A64" s="7" t="s">
        <v>461</v>
      </c>
      <c r="B64" s="7"/>
      <c r="C64" s="7"/>
      <c r="D64" s="7">
        <v>5</v>
      </c>
    </row>
    <row r="65" spans="1:4" x14ac:dyDescent="0.3">
      <c r="A65" s="7" t="s">
        <v>133</v>
      </c>
      <c r="B65" s="7" t="s">
        <v>462</v>
      </c>
      <c r="C65" s="7" t="s">
        <v>146</v>
      </c>
      <c r="D65" s="7">
        <v>2</v>
      </c>
    </row>
    <row r="66" spans="1:4" x14ac:dyDescent="0.3">
      <c r="A66" s="7" t="s">
        <v>144</v>
      </c>
      <c r="B66" s="7"/>
      <c r="C66" s="7"/>
      <c r="D66" s="7">
        <v>2</v>
      </c>
    </row>
    <row r="67" spans="1:4" x14ac:dyDescent="0.3">
      <c r="A67" s="7" t="s">
        <v>147</v>
      </c>
      <c r="B67" s="7" t="s">
        <v>463</v>
      </c>
      <c r="C67" s="7" t="s">
        <v>146</v>
      </c>
      <c r="D67" s="7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topLeftCell="A40" workbookViewId="0"/>
  </sheetViews>
  <sheetFormatPr defaultRowHeight="14.4" x14ac:dyDescent="0.3"/>
  <cols>
    <col min="1" max="1" width="5" customWidth="1"/>
    <col min="2" max="2" width="11" customWidth="1"/>
    <col min="3" max="3" width="8" customWidth="1"/>
    <col min="4" max="4" width="15" customWidth="1"/>
    <col min="5" max="5" width="13" customWidth="1"/>
    <col min="6" max="6" width="20" customWidth="1"/>
    <col min="7" max="7" width="12" customWidth="1"/>
    <col min="8" max="8" width="9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7">
        <v>1</v>
      </c>
      <c r="B2" s="7" t="s">
        <v>8</v>
      </c>
      <c r="C2" s="7" t="s">
        <v>9</v>
      </c>
      <c r="D2" s="7" t="s">
        <v>10</v>
      </c>
      <c r="E2" s="7" t="s">
        <v>10</v>
      </c>
      <c r="F2" s="7" t="s">
        <v>11</v>
      </c>
      <c r="G2" s="7" t="s">
        <v>12</v>
      </c>
      <c r="H2" s="7" t="s">
        <v>13</v>
      </c>
    </row>
    <row r="3" spans="1:8" x14ac:dyDescent="0.3">
      <c r="A3" s="7">
        <v>2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17</v>
      </c>
      <c r="G3" s="7" t="s">
        <v>18</v>
      </c>
      <c r="H3" s="7" t="s">
        <v>13</v>
      </c>
    </row>
    <row r="4" spans="1:8" x14ac:dyDescent="0.3">
      <c r="A4" s="7">
        <v>3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18</v>
      </c>
      <c r="H4" s="7" t="s">
        <v>13</v>
      </c>
    </row>
    <row r="5" spans="1:8" x14ac:dyDescent="0.3">
      <c r="A5" s="7">
        <v>4</v>
      </c>
      <c r="B5" s="7" t="s">
        <v>24</v>
      </c>
      <c r="C5" s="7" t="s">
        <v>9</v>
      </c>
      <c r="D5" s="7" t="s">
        <v>25</v>
      </c>
      <c r="E5" s="7" t="s">
        <v>26</v>
      </c>
      <c r="F5" s="7" t="s">
        <v>26</v>
      </c>
      <c r="G5" s="7" t="s">
        <v>18</v>
      </c>
      <c r="H5" s="7" t="s">
        <v>13</v>
      </c>
    </row>
    <row r="6" spans="1:8" x14ac:dyDescent="0.3">
      <c r="A6" s="7">
        <v>5</v>
      </c>
      <c r="B6" s="7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18</v>
      </c>
      <c r="H6" s="7" t="s">
        <v>13</v>
      </c>
    </row>
    <row r="7" spans="1:8" x14ac:dyDescent="0.3">
      <c r="A7" s="7">
        <v>6</v>
      </c>
      <c r="B7" s="7" t="s">
        <v>32</v>
      </c>
      <c r="C7" s="7" t="s">
        <v>9</v>
      </c>
      <c r="D7" s="7" t="s">
        <v>33</v>
      </c>
      <c r="E7" s="7" t="s">
        <v>34</v>
      </c>
      <c r="F7" s="7" t="s">
        <v>35</v>
      </c>
      <c r="G7" s="7" t="s">
        <v>18</v>
      </c>
      <c r="H7" s="7" t="s">
        <v>13</v>
      </c>
    </row>
    <row r="8" spans="1:8" x14ac:dyDescent="0.3">
      <c r="A8" s="7">
        <v>7</v>
      </c>
      <c r="B8" s="7" t="s">
        <v>36</v>
      </c>
      <c r="C8" s="7" t="s">
        <v>9</v>
      </c>
      <c r="D8" s="7" t="s">
        <v>37</v>
      </c>
      <c r="E8" s="7" t="s">
        <v>38</v>
      </c>
      <c r="F8" s="7" t="s">
        <v>39</v>
      </c>
      <c r="G8" s="7" t="s">
        <v>18</v>
      </c>
      <c r="H8" s="7" t="s">
        <v>13</v>
      </c>
    </row>
    <row r="9" spans="1:8" x14ac:dyDescent="0.3">
      <c r="A9" s="7">
        <v>8</v>
      </c>
      <c r="B9" s="7" t="s">
        <v>40</v>
      </c>
      <c r="C9" s="7" t="s">
        <v>15</v>
      </c>
      <c r="D9" s="7" t="s">
        <v>16</v>
      </c>
      <c r="E9" s="7" t="s">
        <v>17</v>
      </c>
      <c r="F9" s="7" t="s">
        <v>41</v>
      </c>
      <c r="G9" s="7" t="s">
        <v>18</v>
      </c>
      <c r="H9" s="7" t="s">
        <v>13</v>
      </c>
    </row>
    <row r="10" spans="1:8" x14ac:dyDescent="0.3">
      <c r="A10" s="7">
        <v>9</v>
      </c>
      <c r="B10" s="7" t="s">
        <v>42</v>
      </c>
      <c r="C10" s="7" t="s">
        <v>9</v>
      </c>
      <c r="D10" s="7" t="s">
        <v>25</v>
      </c>
      <c r="E10" s="7" t="s">
        <v>43</v>
      </c>
      <c r="F10" s="7" t="s">
        <v>44</v>
      </c>
      <c r="G10" s="7" t="s">
        <v>18</v>
      </c>
      <c r="H10" s="7" t="s">
        <v>13</v>
      </c>
    </row>
    <row r="11" spans="1:8" x14ac:dyDescent="0.3">
      <c r="A11" s="7">
        <v>10</v>
      </c>
      <c r="B11" s="7" t="s">
        <v>45</v>
      </c>
      <c r="C11" s="7" t="s">
        <v>28</v>
      </c>
      <c r="D11" s="7" t="s">
        <v>29</v>
      </c>
      <c r="E11" s="7" t="s">
        <v>30</v>
      </c>
      <c r="F11" s="7" t="s">
        <v>46</v>
      </c>
      <c r="G11" s="7" t="s">
        <v>18</v>
      </c>
      <c r="H11" s="7" t="s">
        <v>13</v>
      </c>
    </row>
    <row r="12" spans="1:8" x14ac:dyDescent="0.3">
      <c r="A12" s="7">
        <v>11</v>
      </c>
      <c r="B12" s="7" t="s">
        <v>47</v>
      </c>
      <c r="C12" s="7" t="s">
        <v>28</v>
      </c>
      <c r="D12" s="7" t="s">
        <v>48</v>
      </c>
      <c r="E12" s="7" t="s">
        <v>49</v>
      </c>
      <c r="F12" s="7" t="s">
        <v>50</v>
      </c>
      <c r="G12" s="7" t="s">
        <v>18</v>
      </c>
      <c r="H12" s="7" t="s">
        <v>13</v>
      </c>
    </row>
    <row r="13" spans="1:8" x14ac:dyDescent="0.3">
      <c r="A13" s="7">
        <v>12</v>
      </c>
      <c r="B13" s="7" t="s">
        <v>51</v>
      </c>
      <c r="C13" s="7" t="s">
        <v>28</v>
      </c>
      <c r="D13" s="7" t="s">
        <v>52</v>
      </c>
      <c r="E13" s="7" t="s">
        <v>53</v>
      </c>
      <c r="F13" s="7" t="s">
        <v>54</v>
      </c>
      <c r="G13" s="7" t="s">
        <v>18</v>
      </c>
      <c r="H13" s="7" t="s">
        <v>13</v>
      </c>
    </row>
    <row r="14" spans="1:8" x14ac:dyDescent="0.3">
      <c r="A14" s="7">
        <v>13</v>
      </c>
      <c r="B14" s="7" t="s">
        <v>55</v>
      </c>
      <c r="C14" s="7" t="s">
        <v>9</v>
      </c>
      <c r="D14" s="7" t="s">
        <v>37</v>
      </c>
      <c r="E14" s="7" t="s">
        <v>56</v>
      </c>
      <c r="F14" s="7" t="s">
        <v>57</v>
      </c>
      <c r="G14" s="7" t="s">
        <v>18</v>
      </c>
      <c r="H14" s="7" t="s">
        <v>13</v>
      </c>
    </row>
    <row r="15" spans="1:8" x14ac:dyDescent="0.3">
      <c r="A15" s="7">
        <v>14</v>
      </c>
      <c r="B15" s="7" t="s">
        <v>58</v>
      </c>
      <c r="C15" s="7" t="s">
        <v>15</v>
      </c>
      <c r="D15" s="7" t="s">
        <v>59</v>
      </c>
      <c r="E15" s="7" t="s">
        <v>60</v>
      </c>
      <c r="F15" s="7" t="s">
        <v>61</v>
      </c>
      <c r="G15" s="7" t="s">
        <v>18</v>
      </c>
      <c r="H15" s="7" t="s">
        <v>13</v>
      </c>
    </row>
    <row r="16" spans="1:8" x14ac:dyDescent="0.3">
      <c r="A16" s="7">
        <v>15</v>
      </c>
      <c r="B16" s="7" t="s">
        <v>62</v>
      </c>
      <c r="C16" s="7" t="s">
        <v>28</v>
      </c>
      <c r="D16" s="7" t="s">
        <v>63</v>
      </c>
      <c r="E16" s="7" t="s">
        <v>64</v>
      </c>
      <c r="F16" s="7" t="s">
        <v>64</v>
      </c>
      <c r="G16" s="7" t="s">
        <v>18</v>
      </c>
      <c r="H16" s="7" t="s">
        <v>13</v>
      </c>
    </row>
    <row r="17" spans="1:8" x14ac:dyDescent="0.3">
      <c r="A17" s="7">
        <v>16</v>
      </c>
      <c r="B17" s="7" t="s">
        <v>65</v>
      </c>
      <c r="C17" s="7" t="s">
        <v>20</v>
      </c>
      <c r="D17" s="7" t="s">
        <v>66</v>
      </c>
      <c r="E17" s="7" t="s">
        <v>67</v>
      </c>
      <c r="F17" s="7" t="s">
        <v>68</v>
      </c>
      <c r="G17" s="7" t="s">
        <v>18</v>
      </c>
      <c r="H17" s="7" t="s">
        <v>13</v>
      </c>
    </row>
    <row r="18" spans="1:8" x14ac:dyDescent="0.3">
      <c r="A18" s="7">
        <v>17</v>
      </c>
      <c r="B18" s="7" t="s">
        <v>69</v>
      </c>
      <c r="C18" s="7" t="s">
        <v>28</v>
      </c>
      <c r="D18" s="7" t="s">
        <v>48</v>
      </c>
      <c r="E18" s="7" t="s">
        <v>70</v>
      </c>
      <c r="F18" s="7" t="s">
        <v>70</v>
      </c>
      <c r="G18" s="7" t="s">
        <v>18</v>
      </c>
      <c r="H18" s="7" t="s">
        <v>13</v>
      </c>
    </row>
    <row r="19" spans="1:8" x14ac:dyDescent="0.3">
      <c r="A19" s="7">
        <v>18</v>
      </c>
      <c r="B19" s="7" t="s">
        <v>71</v>
      </c>
      <c r="C19" s="7" t="s">
        <v>15</v>
      </c>
      <c r="D19" s="7" t="s">
        <v>72</v>
      </c>
      <c r="E19" s="7" t="s">
        <v>73</v>
      </c>
      <c r="F19" s="7" t="s">
        <v>74</v>
      </c>
      <c r="G19" s="7" t="s">
        <v>18</v>
      </c>
      <c r="H19" s="7" t="s">
        <v>13</v>
      </c>
    </row>
    <row r="20" spans="1:8" x14ac:dyDescent="0.3">
      <c r="A20" s="7">
        <v>19</v>
      </c>
      <c r="B20" s="7" t="s">
        <v>75</v>
      </c>
      <c r="C20" s="7" t="s">
        <v>20</v>
      </c>
      <c r="D20" s="7" t="s">
        <v>21</v>
      </c>
      <c r="E20" s="7" t="s">
        <v>76</v>
      </c>
      <c r="F20" s="7" t="s">
        <v>76</v>
      </c>
      <c r="G20" s="7" t="s">
        <v>18</v>
      </c>
      <c r="H20" s="7" t="s">
        <v>13</v>
      </c>
    </row>
    <row r="21" spans="1:8" x14ac:dyDescent="0.3">
      <c r="A21" s="7">
        <v>20</v>
      </c>
      <c r="B21" s="7" t="s">
        <v>77</v>
      </c>
      <c r="C21" s="7" t="s">
        <v>15</v>
      </c>
      <c r="D21" s="7" t="s">
        <v>72</v>
      </c>
      <c r="E21" s="7" t="s">
        <v>73</v>
      </c>
      <c r="F21" s="7" t="s">
        <v>78</v>
      </c>
      <c r="G21" s="7" t="s">
        <v>18</v>
      </c>
      <c r="H21" s="7" t="s">
        <v>79</v>
      </c>
    </row>
    <row r="22" spans="1:8" x14ac:dyDescent="0.3">
      <c r="A22" s="7">
        <v>21</v>
      </c>
      <c r="B22" s="7" t="s">
        <v>80</v>
      </c>
      <c r="C22" s="7" t="s">
        <v>20</v>
      </c>
      <c r="D22" s="7" t="s">
        <v>21</v>
      </c>
      <c r="E22" s="7" t="s">
        <v>22</v>
      </c>
      <c r="F22" s="7" t="s">
        <v>81</v>
      </c>
      <c r="G22" s="7" t="s">
        <v>18</v>
      </c>
      <c r="H22" s="7" t="s">
        <v>13</v>
      </c>
    </row>
    <row r="23" spans="1:8" x14ac:dyDescent="0.3">
      <c r="A23" s="7">
        <v>22</v>
      </c>
      <c r="B23" s="7" t="s">
        <v>82</v>
      </c>
      <c r="C23" s="7" t="s">
        <v>28</v>
      </c>
      <c r="D23" s="7" t="s">
        <v>48</v>
      </c>
      <c r="E23" s="7" t="s">
        <v>83</v>
      </c>
      <c r="F23" s="7" t="s">
        <v>83</v>
      </c>
      <c r="G23" s="7" t="s">
        <v>84</v>
      </c>
      <c r="H23" s="7" t="s">
        <v>13</v>
      </c>
    </row>
    <row r="24" spans="1:8" x14ac:dyDescent="0.3">
      <c r="A24" s="7">
        <v>23</v>
      </c>
      <c r="B24" s="7" t="s">
        <v>85</v>
      </c>
      <c r="C24" s="7" t="s">
        <v>15</v>
      </c>
      <c r="D24" s="7" t="s">
        <v>86</v>
      </c>
      <c r="E24" s="7" t="s">
        <v>87</v>
      </c>
      <c r="F24" s="7" t="s">
        <v>88</v>
      </c>
      <c r="G24" s="7" t="s">
        <v>18</v>
      </c>
      <c r="H24" s="7" t="s">
        <v>13</v>
      </c>
    </row>
    <row r="25" spans="1:8" x14ac:dyDescent="0.3">
      <c r="A25" s="7">
        <v>24</v>
      </c>
      <c r="B25" s="7" t="s">
        <v>89</v>
      </c>
      <c r="C25" s="7" t="s">
        <v>20</v>
      </c>
      <c r="D25" s="7" t="s">
        <v>21</v>
      </c>
      <c r="E25" s="7" t="s">
        <v>90</v>
      </c>
      <c r="F25" s="7" t="s">
        <v>91</v>
      </c>
      <c r="G25" s="7" t="s">
        <v>18</v>
      </c>
      <c r="H25" s="7" t="s">
        <v>13</v>
      </c>
    </row>
    <row r="26" spans="1:8" x14ac:dyDescent="0.3">
      <c r="A26" s="7">
        <v>25</v>
      </c>
      <c r="B26" s="7" t="s">
        <v>92</v>
      </c>
      <c r="C26" s="7" t="s">
        <v>9</v>
      </c>
      <c r="D26" s="7" t="s">
        <v>25</v>
      </c>
      <c r="E26" s="7" t="s">
        <v>93</v>
      </c>
      <c r="F26" s="7" t="s">
        <v>93</v>
      </c>
      <c r="G26" s="7" t="s">
        <v>18</v>
      </c>
      <c r="H26" s="7" t="s">
        <v>13</v>
      </c>
    </row>
    <row r="27" spans="1:8" x14ac:dyDescent="0.3">
      <c r="A27" s="7">
        <v>26</v>
      </c>
      <c r="B27" s="7" t="s">
        <v>94</v>
      </c>
      <c r="C27" s="7" t="s">
        <v>20</v>
      </c>
      <c r="D27" s="7" t="s">
        <v>95</v>
      </c>
      <c r="E27" s="7" t="s">
        <v>96</v>
      </c>
      <c r="F27" s="7" t="s">
        <v>97</v>
      </c>
      <c r="G27" s="7" t="s">
        <v>18</v>
      </c>
      <c r="H27" s="7" t="s">
        <v>13</v>
      </c>
    </row>
    <row r="28" spans="1:8" x14ac:dyDescent="0.3">
      <c r="A28" s="7">
        <v>27</v>
      </c>
      <c r="B28" s="7" t="s">
        <v>98</v>
      </c>
      <c r="C28" s="7" t="s">
        <v>20</v>
      </c>
      <c r="D28" s="7" t="s">
        <v>66</v>
      </c>
      <c r="E28" s="7" t="s">
        <v>67</v>
      </c>
      <c r="F28" s="7" t="s">
        <v>99</v>
      </c>
      <c r="G28" s="7" t="s">
        <v>18</v>
      </c>
      <c r="H28" s="7" t="s">
        <v>13</v>
      </c>
    </row>
    <row r="29" spans="1:8" x14ac:dyDescent="0.3">
      <c r="A29" s="7">
        <v>28</v>
      </c>
      <c r="B29" s="7" t="s">
        <v>100</v>
      </c>
      <c r="C29" s="7" t="s">
        <v>9</v>
      </c>
      <c r="D29" s="7" t="s">
        <v>101</v>
      </c>
      <c r="E29" s="7" t="s">
        <v>102</v>
      </c>
      <c r="F29" s="7" t="s">
        <v>102</v>
      </c>
      <c r="G29" s="7" t="s">
        <v>18</v>
      </c>
      <c r="H29" s="7" t="s">
        <v>13</v>
      </c>
    </row>
    <row r="30" spans="1:8" x14ac:dyDescent="0.3">
      <c r="A30" s="7">
        <v>29</v>
      </c>
      <c r="B30" s="7" t="s">
        <v>103</v>
      </c>
      <c r="C30" s="7" t="s">
        <v>9</v>
      </c>
      <c r="D30" s="7" t="s">
        <v>33</v>
      </c>
      <c r="E30" s="7" t="s">
        <v>104</v>
      </c>
      <c r="F30" s="7" t="s">
        <v>105</v>
      </c>
      <c r="G30" s="7" t="s">
        <v>18</v>
      </c>
      <c r="H30" s="7" t="s">
        <v>13</v>
      </c>
    </row>
    <row r="31" spans="1:8" x14ac:dyDescent="0.3">
      <c r="A31" s="7">
        <v>30</v>
      </c>
      <c r="B31" s="7" t="s">
        <v>106</v>
      </c>
      <c r="C31" s="7" t="s">
        <v>15</v>
      </c>
      <c r="D31" s="7" t="s">
        <v>59</v>
      </c>
      <c r="E31" s="7" t="s">
        <v>60</v>
      </c>
      <c r="F31" s="7" t="s">
        <v>60</v>
      </c>
      <c r="G31" s="7" t="s">
        <v>18</v>
      </c>
      <c r="H31" s="7" t="s">
        <v>13</v>
      </c>
    </row>
    <row r="32" spans="1:8" x14ac:dyDescent="0.3">
      <c r="A32" s="7">
        <v>31</v>
      </c>
      <c r="B32" s="7" t="s">
        <v>107</v>
      </c>
      <c r="C32" s="7" t="s">
        <v>20</v>
      </c>
      <c r="D32" s="7" t="s">
        <v>108</v>
      </c>
      <c r="E32" s="7" t="s">
        <v>109</v>
      </c>
      <c r="F32" s="7" t="s">
        <v>109</v>
      </c>
      <c r="G32" s="7" t="s">
        <v>18</v>
      </c>
      <c r="H32" s="7" t="s">
        <v>13</v>
      </c>
    </row>
    <row r="33" spans="1:8" x14ac:dyDescent="0.3">
      <c r="A33" s="7">
        <v>32</v>
      </c>
      <c r="B33" s="7" t="s">
        <v>110</v>
      </c>
      <c r="C33" s="7" t="s">
        <v>28</v>
      </c>
      <c r="D33" s="7" t="s">
        <v>48</v>
      </c>
      <c r="E33" s="7" t="s">
        <v>49</v>
      </c>
      <c r="F33" s="7" t="s">
        <v>111</v>
      </c>
      <c r="G33" s="7" t="s">
        <v>18</v>
      </c>
      <c r="H33" s="7" t="s">
        <v>112</v>
      </c>
    </row>
    <row r="34" spans="1:8" x14ac:dyDescent="0.3">
      <c r="A34" s="7">
        <v>33</v>
      </c>
      <c r="B34" s="7" t="s">
        <v>113</v>
      </c>
      <c r="C34" s="7" t="s">
        <v>15</v>
      </c>
      <c r="D34" s="7" t="s">
        <v>114</v>
      </c>
      <c r="E34" s="7" t="s">
        <v>115</v>
      </c>
      <c r="F34" s="7" t="s">
        <v>115</v>
      </c>
      <c r="G34" s="7" t="s">
        <v>18</v>
      </c>
      <c r="H34" s="7" t="s">
        <v>112</v>
      </c>
    </row>
    <row r="35" spans="1:8" x14ac:dyDescent="0.3">
      <c r="A35" s="7">
        <v>34</v>
      </c>
      <c r="B35" s="7" t="s">
        <v>116</v>
      </c>
      <c r="C35" s="7" t="s">
        <v>9</v>
      </c>
      <c r="D35" s="7" t="s">
        <v>37</v>
      </c>
      <c r="E35" s="7" t="s">
        <v>56</v>
      </c>
      <c r="F35" s="7" t="s">
        <v>56</v>
      </c>
      <c r="G35" s="7" t="s">
        <v>18</v>
      </c>
      <c r="H35" s="7" t="s">
        <v>13</v>
      </c>
    </row>
    <row r="36" spans="1:8" x14ac:dyDescent="0.3">
      <c r="A36" s="7">
        <v>35</v>
      </c>
      <c r="B36" s="7" t="s">
        <v>117</v>
      </c>
      <c r="C36" s="7" t="s">
        <v>15</v>
      </c>
      <c r="D36" s="7" t="s">
        <v>72</v>
      </c>
      <c r="E36" s="7" t="s">
        <v>73</v>
      </c>
      <c r="F36" s="7" t="s">
        <v>118</v>
      </c>
      <c r="G36" s="7" t="s">
        <v>18</v>
      </c>
      <c r="H36" s="7" t="s">
        <v>13</v>
      </c>
    </row>
    <row r="37" spans="1:8" x14ac:dyDescent="0.3">
      <c r="A37" s="7">
        <v>36</v>
      </c>
      <c r="B37" s="7" t="s">
        <v>119</v>
      </c>
      <c r="C37" s="7" t="s">
        <v>28</v>
      </c>
      <c r="D37" s="7" t="s">
        <v>63</v>
      </c>
      <c r="E37" s="7" t="s">
        <v>120</v>
      </c>
      <c r="F37" s="7" t="s">
        <v>121</v>
      </c>
      <c r="G37" s="7" t="s">
        <v>18</v>
      </c>
      <c r="H37" s="7" t="s">
        <v>13</v>
      </c>
    </row>
    <row r="38" spans="1:8" x14ac:dyDescent="0.3">
      <c r="A38" s="7">
        <v>37</v>
      </c>
      <c r="B38" s="7" t="s">
        <v>122</v>
      </c>
      <c r="C38" s="7" t="s">
        <v>15</v>
      </c>
      <c r="D38" s="7" t="s">
        <v>86</v>
      </c>
      <c r="E38" s="7" t="s">
        <v>123</v>
      </c>
      <c r="F38" s="7" t="s">
        <v>124</v>
      </c>
      <c r="G38" s="7" t="s">
        <v>84</v>
      </c>
      <c r="H38" s="7" t="s">
        <v>13</v>
      </c>
    </row>
    <row r="39" spans="1:8" x14ac:dyDescent="0.3">
      <c r="A39" s="7">
        <v>38</v>
      </c>
      <c r="B39" s="7" t="s">
        <v>125</v>
      </c>
      <c r="C39" s="7" t="s">
        <v>28</v>
      </c>
      <c r="D39" s="7" t="s">
        <v>52</v>
      </c>
      <c r="E39" s="7" t="s">
        <v>53</v>
      </c>
      <c r="F39" s="7" t="s">
        <v>53</v>
      </c>
      <c r="G39" s="7" t="s">
        <v>84</v>
      </c>
      <c r="H39" s="7" t="s">
        <v>13</v>
      </c>
    </row>
    <row r="40" spans="1:8" x14ac:dyDescent="0.3">
      <c r="A40" s="7">
        <v>39</v>
      </c>
      <c r="B40" s="7" t="s">
        <v>126</v>
      </c>
      <c r="C40" s="7" t="s">
        <v>20</v>
      </c>
      <c r="D40" s="7" t="s">
        <v>21</v>
      </c>
      <c r="E40" s="7" t="s">
        <v>90</v>
      </c>
      <c r="F40" s="7" t="s">
        <v>127</v>
      </c>
      <c r="G40" s="7" t="s">
        <v>84</v>
      </c>
      <c r="H40" s="7" t="s">
        <v>13</v>
      </c>
    </row>
    <row r="41" spans="1:8" x14ac:dyDescent="0.3">
      <c r="A41" s="7">
        <v>40</v>
      </c>
      <c r="B41" s="7" t="s">
        <v>128</v>
      </c>
      <c r="C41" s="7" t="s">
        <v>9</v>
      </c>
      <c r="D41" s="7" t="s">
        <v>33</v>
      </c>
      <c r="E41" s="7" t="s">
        <v>129</v>
      </c>
      <c r="F41" s="7" t="s">
        <v>130</v>
      </c>
      <c r="G41" s="7" t="s">
        <v>84</v>
      </c>
      <c r="H41" s="7" t="s">
        <v>13</v>
      </c>
    </row>
    <row r="42" spans="1:8" x14ac:dyDescent="0.3">
      <c r="A42" s="7">
        <v>41</v>
      </c>
      <c r="B42" s="7" t="s">
        <v>131</v>
      </c>
      <c r="C42" s="7" t="s">
        <v>20</v>
      </c>
      <c r="D42" s="7" t="s">
        <v>66</v>
      </c>
      <c r="E42" s="7" t="s">
        <v>67</v>
      </c>
      <c r="F42" s="7" t="s">
        <v>132</v>
      </c>
      <c r="G42" s="7" t="s">
        <v>18</v>
      </c>
      <c r="H42" s="7" t="s">
        <v>13</v>
      </c>
    </row>
    <row r="43" spans="1:8" x14ac:dyDescent="0.3">
      <c r="A43" s="7">
        <v>42</v>
      </c>
      <c r="B43" s="7"/>
      <c r="C43" s="7"/>
      <c r="D43" s="7"/>
      <c r="E43" s="7"/>
      <c r="F43" s="7"/>
      <c r="G43" s="7"/>
      <c r="H43" s="7"/>
    </row>
    <row r="44" spans="1:8" x14ac:dyDescent="0.3">
      <c r="A44" s="7">
        <v>43</v>
      </c>
      <c r="B44" s="7" t="s">
        <v>133</v>
      </c>
      <c r="C44" s="7" t="s">
        <v>9</v>
      </c>
      <c r="D44" s="7" t="s">
        <v>33</v>
      </c>
      <c r="E44" s="7" t="s">
        <v>34</v>
      </c>
      <c r="F44" s="7" t="s">
        <v>134</v>
      </c>
      <c r="G44" s="7" t="s">
        <v>135</v>
      </c>
      <c r="H44" s="7" t="s">
        <v>13</v>
      </c>
    </row>
    <row r="45" spans="1:8" x14ac:dyDescent="0.3">
      <c r="A45" s="7">
        <v>44</v>
      </c>
      <c r="B45" s="7" t="s">
        <v>136</v>
      </c>
      <c r="C45" s="7" t="s">
        <v>9</v>
      </c>
      <c r="D45" s="7" t="s">
        <v>37</v>
      </c>
      <c r="E45" s="7" t="s">
        <v>137</v>
      </c>
      <c r="F45" s="7" t="s">
        <v>137</v>
      </c>
      <c r="G45" s="7" t="s">
        <v>18</v>
      </c>
      <c r="H45" s="7" t="s">
        <v>112</v>
      </c>
    </row>
    <row r="46" spans="1:8" x14ac:dyDescent="0.3">
      <c r="A46" s="7">
        <v>45</v>
      </c>
      <c r="B46" s="7" t="s">
        <v>138</v>
      </c>
      <c r="C46" s="7" t="s">
        <v>20</v>
      </c>
      <c r="D46" s="7" t="s">
        <v>21</v>
      </c>
      <c r="E46" s="7" t="s">
        <v>139</v>
      </c>
      <c r="F46" s="7" t="s">
        <v>139</v>
      </c>
      <c r="G46" s="7" t="s">
        <v>18</v>
      </c>
      <c r="H46" s="7" t="s">
        <v>112</v>
      </c>
    </row>
    <row r="47" spans="1:8" x14ac:dyDescent="0.3">
      <c r="A47" s="7">
        <v>46</v>
      </c>
      <c r="B47" s="7" t="s">
        <v>140</v>
      </c>
      <c r="C47" s="7" t="s">
        <v>28</v>
      </c>
      <c r="D47" s="7" t="s">
        <v>48</v>
      </c>
      <c r="E47" s="7" t="s">
        <v>70</v>
      </c>
      <c r="F47" s="7" t="s">
        <v>141</v>
      </c>
      <c r="G47" s="7" t="s">
        <v>18</v>
      </c>
      <c r="H47" s="7" t="s">
        <v>112</v>
      </c>
    </row>
    <row r="48" spans="1:8" x14ac:dyDescent="0.3">
      <c r="A48" s="7">
        <v>47</v>
      </c>
      <c r="B48" s="7" t="s">
        <v>142</v>
      </c>
      <c r="C48" s="7" t="s">
        <v>15</v>
      </c>
      <c r="D48" s="7" t="s">
        <v>86</v>
      </c>
      <c r="E48" s="7" t="s">
        <v>87</v>
      </c>
      <c r="F48" s="7" t="s">
        <v>143</v>
      </c>
      <c r="G48" s="7" t="s">
        <v>84</v>
      </c>
      <c r="H48" s="7" t="s">
        <v>13</v>
      </c>
    </row>
    <row r="49" spans="1:8" x14ac:dyDescent="0.3">
      <c r="A49" s="7">
        <v>48</v>
      </c>
      <c r="B49" s="7" t="s">
        <v>144</v>
      </c>
      <c r="C49" s="7" t="s">
        <v>15</v>
      </c>
      <c r="D49" s="7" t="s">
        <v>86</v>
      </c>
      <c r="E49" s="7" t="s">
        <v>87</v>
      </c>
      <c r="F49" s="7" t="s">
        <v>145</v>
      </c>
      <c r="G49" s="7" t="s">
        <v>146</v>
      </c>
      <c r="H49" s="7" t="s">
        <v>13</v>
      </c>
    </row>
    <row r="50" spans="1:8" x14ac:dyDescent="0.3">
      <c r="A50" s="7">
        <v>49</v>
      </c>
      <c r="B50" s="7" t="s">
        <v>147</v>
      </c>
      <c r="C50" s="7" t="s">
        <v>28</v>
      </c>
      <c r="D50" s="7" t="s">
        <v>29</v>
      </c>
      <c r="E50" s="7" t="s">
        <v>30</v>
      </c>
      <c r="F50" s="7" t="s">
        <v>30</v>
      </c>
      <c r="G50" s="7" t="s">
        <v>146</v>
      </c>
      <c r="H50" s="7" t="s">
        <v>112</v>
      </c>
    </row>
    <row r="51" spans="1:8" x14ac:dyDescent="0.3">
      <c r="A51" s="7">
        <v>50</v>
      </c>
      <c r="B51" s="7" t="s">
        <v>147</v>
      </c>
      <c r="C51" s="7" t="s">
        <v>28</v>
      </c>
      <c r="D51" s="7" t="s">
        <v>29</v>
      </c>
      <c r="E51" s="7" t="s">
        <v>30</v>
      </c>
      <c r="F51" s="7" t="s">
        <v>30</v>
      </c>
      <c r="G51" s="7" t="s">
        <v>135</v>
      </c>
      <c r="H51" s="7" t="s">
        <v>112</v>
      </c>
    </row>
    <row r="52" spans="1:8" x14ac:dyDescent="0.3">
      <c r="A52" s="7">
        <v>51</v>
      </c>
      <c r="B52" s="7" t="s">
        <v>148</v>
      </c>
      <c r="C52" s="7" t="s">
        <v>15</v>
      </c>
      <c r="D52" s="7" t="s">
        <v>86</v>
      </c>
      <c r="E52" s="7" t="s">
        <v>87</v>
      </c>
      <c r="F52" s="7" t="s">
        <v>149</v>
      </c>
      <c r="G52" s="7" t="s">
        <v>18</v>
      </c>
      <c r="H52" s="7" t="s">
        <v>150</v>
      </c>
    </row>
    <row r="53" spans="1:8" x14ac:dyDescent="0.3">
      <c r="A53" s="7">
        <v>52</v>
      </c>
      <c r="B53" s="7" t="s">
        <v>151</v>
      </c>
      <c r="C53" s="7" t="s">
        <v>15</v>
      </c>
      <c r="D53" s="7" t="s">
        <v>86</v>
      </c>
      <c r="E53" s="7" t="s">
        <v>123</v>
      </c>
      <c r="F53" s="7" t="s">
        <v>152</v>
      </c>
      <c r="G53" s="7" t="s">
        <v>18</v>
      </c>
      <c r="H53" s="7" t="s">
        <v>112</v>
      </c>
    </row>
    <row r="54" spans="1:8" x14ac:dyDescent="0.3">
      <c r="A54" s="7">
        <v>53</v>
      </c>
      <c r="B54" s="7" t="s">
        <v>153</v>
      </c>
      <c r="C54" s="7" t="s">
        <v>28</v>
      </c>
      <c r="D54" s="7" t="s">
        <v>154</v>
      </c>
      <c r="E54" s="7" t="s">
        <v>155</v>
      </c>
      <c r="F54" s="7" t="s">
        <v>155</v>
      </c>
      <c r="G54" s="7" t="s">
        <v>18</v>
      </c>
      <c r="H54" s="7" t="s">
        <v>112</v>
      </c>
    </row>
    <row r="55" spans="1:8" x14ac:dyDescent="0.3">
      <c r="A55" s="7">
        <v>54</v>
      </c>
      <c r="B55" s="7" t="s">
        <v>156</v>
      </c>
      <c r="C55" s="7" t="s">
        <v>28</v>
      </c>
      <c r="D55" s="7" t="s">
        <v>29</v>
      </c>
      <c r="E55" s="7" t="s">
        <v>30</v>
      </c>
      <c r="F55" s="7" t="s">
        <v>30</v>
      </c>
      <c r="G55" s="7" t="s">
        <v>84</v>
      </c>
      <c r="H55" s="7" t="s">
        <v>112</v>
      </c>
    </row>
    <row r="56" spans="1:8" x14ac:dyDescent="0.3">
      <c r="A56" s="7">
        <v>55</v>
      </c>
      <c r="B56" s="7" t="s">
        <v>157</v>
      </c>
      <c r="C56" s="7" t="s">
        <v>28</v>
      </c>
      <c r="D56" s="7" t="s">
        <v>29</v>
      </c>
      <c r="E56" s="7" t="s">
        <v>30</v>
      </c>
      <c r="F56" s="7" t="s">
        <v>30</v>
      </c>
      <c r="G56" s="7" t="s">
        <v>18</v>
      </c>
      <c r="H56" s="7" t="s">
        <v>112</v>
      </c>
    </row>
    <row r="57" spans="1:8" x14ac:dyDescent="0.3">
      <c r="A57" s="7">
        <v>56</v>
      </c>
      <c r="B57" s="7" t="s">
        <v>158</v>
      </c>
      <c r="C57" s="7" t="s">
        <v>20</v>
      </c>
      <c r="D57" s="7" t="s">
        <v>21</v>
      </c>
      <c r="E57" s="7" t="s">
        <v>159</v>
      </c>
      <c r="F57" s="7" t="s">
        <v>160</v>
      </c>
      <c r="G57" s="7" t="s">
        <v>18</v>
      </c>
      <c r="H57" s="7" t="s">
        <v>112</v>
      </c>
    </row>
    <row r="58" spans="1:8" x14ac:dyDescent="0.3">
      <c r="A58" s="7">
        <v>57</v>
      </c>
      <c r="B58" s="7" t="s">
        <v>161</v>
      </c>
      <c r="C58" s="7" t="s">
        <v>20</v>
      </c>
      <c r="D58" s="7" t="s">
        <v>66</v>
      </c>
      <c r="E58" s="7" t="s">
        <v>162</v>
      </c>
      <c r="F58" s="7" t="s">
        <v>163</v>
      </c>
      <c r="G58" s="7" t="s">
        <v>18</v>
      </c>
      <c r="H58" s="7" t="s">
        <v>112</v>
      </c>
    </row>
    <row r="59" spans="1:8" x14ac:dyDescent="0.3">
      <c r="A59" s="7">
        <v>58</v>
      </c>
      <c r="B59" s="7" t="s">
        <v>164</v>
      </c>
      <c r="C59" s="7" t="s">
        <v>28</v>
      </c>
      <c r="D59" s="7" t="s">
        <v>48</v>
      </c>
      <c r="E59" s="7" t="s">
        <v>83</v>
      </c>
      <c r="F59" s="7" t="s">
        <v>83</v>
      </c>
      <c r="G59" s="7" t="s">
        <v>18</v>
      </c>
      <c r="H59" s="7" t="s">
        <v>112</v>
      </c>
    </row>
    <row r="60" spans="1:8" x14ac:dyDescent="0.3">
      <c r="A60" s="7">
        <v>59</v>
      </c>
      <c r="B60" s="7" t="s">
        <v>165</v>
      </c>
      <c r="C60" s="7" t="s">
        <v>28</v>
      </c>
      <c r="D60" s="7" t="s">
        <v>154</v>
      </c>
      <c r="E60" s="7" t="s">
        <v>166</v>
      </c>
      <c r="F60" s="7" t="s">
        <v>167</v>
      </c>
      <c r="G60" s="7" t="s">
        <v>18</v>
      </c>
      <c r="H60" s="7" t="s">
        <v>112</v>
      </c>
    </row>
    <row r="61" spans="1:8" x14ac:dyDescent="0.3">
      <c r="A61" s="7">
        <v>60</v>
      </c>
      <c r="B61" s="7" t="s">
        <v>168</v>
      </c>
      <c r="C61" s="7" t="s">
        <v>20</v>
      </c>
      <c r="D61" s="7" t="s">
        <v>21</v>
      </c>
      <c r="E61" s="7" t="s">
        <v>22</v>
      </c>
      <c r="F61" s="7" t="s">
        <v>169</v>
      </c>
      <c r="G61" s="7" t="s">
        <v>84</v>
      </c>
      <c r="H61" s="7" t="s">
        <v>112</v>
      </c>
    </row>
    <row r="62" spans="1:8" x14ac:dyDescent="0.3">
      <c r="A62" s="7">
        <v>61</v>
      </c>
      <c r="B62" s="7" t="s">
        <v>170</v>
      </c>
      <c r="C62" s="7" t="s">
        <v>28</v>
      </c>
      <c r="D62" s="7" t="s">
        <v>154</v>
      </c>
      <c r="E62" s="7" t="s">
        <v>171</v>
      </c>
      <c r="F62" s="7" t="s">
        <v>172</v>
      </c>
      <c r="G62" s="7" t="s">
        <v>173</v>
      </c>
      <c r="H62" s="7" t="s">
        <v>13</v>
      </c>
    </row>
    <row r="63" spans="1:8" x14ac:dyDescent="0.3">
      <c r="A63" s="7">
        <v>62</v>
      </c>
      <c r="B63" s="7" t="s">
        <v>174</v>
      </c>
      <c r="C63" s="7" t="s">
        <v>9</v>
      </c>
      <c r="D63" s="7" t="s">
        <v>175</v>
      </c>
      <c r="E63" s="7" t="s">
        <v>176</v>
      </c>
      <c r="F63" s="7" t="s">
        <v>177</v>
      </c>
      <c r="G63" s="7" t="s">
        <v>18</v>
      </c>
      <c r="H63" s="7" t="s">
        <v>112</v>
      </c>
    </row>
    <row r="64" spans="1:8" x14ac:dyDescent="0.3">
      <c r="A64" s="7">
        <v>63</v>
      </c>
      <c r="B64" s="7" t="s">
        <v>178</v>
      </c>
      <c r="C64" s="7" t="s">
        <v>9</v>
      </c>
      <c r="D64" s="7" t="s">
        <v>37</v>
      </c>
      <c r="E64" s="7" t="s">
        <v>179</v>
      </c>
      <c r="F64" s="7" t="s">
        <v>179</v>
      </c>
      <c r="G64" s="7" t="s">
        <v>12</v>
      </c>
      <c r="H64" s="7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9"/>
  <sheetViews>
    <sheetView topLeftCell="B1" workbookViewId="0"/>
  </sheetViews>
  <sheetFormatPr defaultRowHeight="14.4" x14ac:dyDescent="0.3"/>
  <cols>
    <col min="1" max="1" width="4" customWidth="1"/>
    <col min="2" max="2" width="8" customWidth="1"/>
    <col min="3" max="3" width="110" customWidth="1"/>
  </cols>
  <sheetData>
    <row r="3" spans="2:3" x14ac:dyDescent="0.3">
      <c r="B3" s="11" t="s">
        <v>464</v>
      </c>
      <c r="C3" s="11" t="s">
        <v>465</v>
      </c>
    </row>
    <row r="4" spans="2:3" ht="43.2" customHeight="1" x14ac:dyDescent="0.3">
      <c r="B4" s="8">
        <v>1</v>
      </c>
      <c r="C4" s="12" t="s">
        <v>466</v>
      </c>
    </row>
    <row r="5" spans="2:3" ht="57.6" customHeight="1" x14ac:dyDescent="0.3">
      <c r="B5" s="8">
        <v>2</v>
      </c>
      <c r="C5" s="12" t="s">
        <v>467</v>
      </c>
    </row>
    <row r="6" spans="2:3" x14ac:dyDescent="0.3">
      <c r="B6" s="8">
        <v>3</v>
      </c>
      <c r="C6" s="12" t="s">
        <v>468</v>
      </c>
    </row>
    <row r="7" spans="2:3" x14ac:dyDescent="0.3">
      <c r="B7" s="8">
        <v>4</v>
      </c>
      <c r="C7" s="12" t="s">
        <v>469</v>
      </c>
    </row>
    <row r="8" spans="2:3" x14ac:dyDescent="0.3">
      <c r="B8" s="8">
        <v>5</v>
      </c>
      <c r="C8" s="12" t="s">
        <v>470</v>
      </c>
    </row>
    <row r="9" spans="2:3" x14ac:dyDescent="0.3">
      <c r="B9" s="8">
        <v>6</v>
      </c>
      <c r="C9" s="13" t="s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Inbound</vt:lpstr>
      <vt:lpstr>Outbound</vt:lpstr>
      <vt:lpstr>Master_EA per Line</vt:lpstr>
      <vt:lpstr>Day_to_Day</vt:lpstr>
      <vt:lpstr>Summary</vt:lpstr>
      <vt:lpstr>Master</vt:lpstr>
      <vt:lpstr>Site Master</vt:lpstr>
      <vt:lpstr>Pre 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ARIHARA SUDAN PASUPATHY - 70472300090</cp:lastModifiedBy>
  <dcterms:created xsi:type="dcterms:W3CDTF">2026-09-23T04:53:17Z</dcterms:created>
  <dcterms:modified xsi:type="dcterms:W3CDTF">2026-09-23T10:12:27Z</dcterms:modified>
</cp:coreProperties>
</file>